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45de62a06be43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94f03c8dcff644f3"/>
    <x:sheet xmlns:r="http://schemas.openxmlformats.org/officeDocument/2006/relationships" name="Data &amp; Targets" sheetId="2" r:id="R4c2f0803070a4186"/>
    <x:sheet xmlns:r="http://schemas.openxmlformats.org/officeDocument/2006/relationships" name="_Chart Helpers" sheetId="3" r:id="Rc7f6516328f64fd8"/>
    <x:sheet xmlns:r="http://schemas.openxmlformats.org/officeDocument/2006/relationships" name="大行情复盘" sheetId="4" r:id="Rdcab45dc081648e0"/>
    <x:sheet xmlns:r="http://schemas.openxmlformats.org/officeDocument/2006/relationships" name="逐笔交易" sheetId="5" r:id="R0fe43e28248e4dd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4">
    <x:numFmt numFmtId="164" formatCode="mmm\ yyyy"/>
    <x:numFmt numFmtId="165" formatCode="#,##0;[Red]\(#,##0\);\-"/>
    <x:numFmt numFmtId="166" formatCode="0.0%;[Red]\(0.0%\);\-"/>
    <x:numFmt numFmtId="167" formatCode="#,##0.0;[Red]\(#,##0.0\);\-"/>
    <x:numFmt numFmtId="168" formatCode="\$#,##0;[Red]\(\$#,##0\);\-"/>
    <x:numFmt numFmtId="169" formatCode="0.0\x"/>
    <x:numFmt numFmtId="170" formatCode="\$#,##0.0;[Red]\(\$#,##0.0\);\-"/>
    <x:numFmt numFmtId="171" formatCode="\+0.0%;\-0.0%;\-"/>
    <x:numFmt numFmtId="200" formatCode="yyyy-mm-dd"/>
    <x:numFmt numFmtId="201" formatCode="0.00%;(0.00%);&quot;—&quot;"/>
    <x:numFmt numFmtId="202" formatCode="0.00"/>
    <x:numFmt numFmtId="203" formatCode="#,##0.00;(#,##0.00);&quot;—&quot;"/>
    <x:numFmt numFmtId="204" formatCode="0"/>
    <x:numFmt numFmtId="205" formatCode="@"/>
  </x:numFmts>
  <x:fonts count="24">
    <x:font>
      <x:sz val="11"/>
      <x:name val="Arial"/>
    </x:font>
    <x:font>
      <x:b/>
      <x:sz val="14"/>
      <x:color rgb="FFFFFFFF"/>
      <x:name val="Arial"/>
    </x:font>
    <x:font>
      <x:b/>
      <x:sz val="10"/>
      <x:color rgb="FFD9E2EA"/>
      <x:name val="Arial"/>
    </x:font>
    <x:font>
      <x:b/>
      <x:sz val="10"/>
      <x:color rgb="FFFFFFFF"/>
      <x:name val="Arial"/>
    </x:font>
    <x:font>
      <x:sz val="9"/>
      <x:color rgb="FF17212B"/>
      <x:name val="Arial"/>
    </x:font>
    <x:font>
      <x:b/>
      <x:sz val="9"/>
      <x:color rgb="FFFFFFFF"/>
      <x:name val="Arial"/>
    </x:font>
    <x:font>
      <x:sz val="9"/>
      <x:color rgb="FFFFFFFF"/>
      <x:name val="Arial"/>
    </x:font>
    <x:font>
      <x:b/>
      <x:sz val="8"/>
      <x:color rgb="FFA7B4C2"/>
      <x:name val="Arial"/>
    </x:font>
    <x:font>
      <x:b/>
      <x:sz val="11"/>
      <x:color rgb="FFFFFFFF"/>
      <x:name val="Arial"/>
    </x:font>
    <x:font>
      <x:i/>
      <x:sz val="8"/>
      <x:color rgb="FFA7B4C2"/>
      <x:name val="Arial"/>
    </x:font>
    <x:font>
      <x:b/>
      <x:sz val="9"/>
      <x:color rgb="FFA7B4C2"/>
      <x:name val="Arial"/>
    </x:font>
    <x:font>
      <x:b/>
      <x:sz val="25"/>
      <x:color rgb="FFFFFFFF"/>
      <x:name val="Arial"/>
    </x:font>
    <x:font>
      <x:b/>
      <x:sz val="9"/>
      <x:color rgb="FF43D3FF"/>
      <x:name val="Arial"/>
    </x:font>
    <x:font>
      <x:sz val="8"/>
      <x:color rgb="FFA7B4C2"/>
      <x:name val="Arial"/>
    </x:font>
    <x:font>
      <x:sz val="9"/>
      <x:color rgb="FFA7B4C2"/>
      <x:name val="Arial"/>
    </x:font>
    <x:font>
      <x:i/>
      <x:sz val="9"/>
      <x:color rgb="FFA7B4C2"/>
      <x:name val="Arial"/>
    </x:font>
    <x:font>
      <x:sz val="11"/>
      <x:name val="Arial"/>
    </x:font>
    <x:font>
      <x:b/>
      <x:sz val="9"/>
      <x:color rgb="FF000000"/>
      <x:name val="Arial"/>
    </x:font>
    <x:font>
      <x:sz val="9"/>
      <x:color rgb="FF0000FF"/>
      <x:name val="Arial"/>
    </x:font>
    <x:font>
      <x:i/>
      <x:sz val="10"/>
      <x:color rgb="FFD9E2EA"/>
      <x:name val="Arial"/>
    </x:font>
    <x:font>
      <x:b/>
      <x:sz val="10"/>
      <x:color rgb="FF0D1B2A"/>
      <x:name val="Arial"/>
    </x:font>
    <x:font>
      <x:sz val="10"/>
      <x:color rgb="FF0D1B2A"/>
      <x:name val="Arial"/>
    </x:font>
    <x:font>
      <x:b/>
      <x:sz val="15"/>
      <x:color rgb="FF0D1B2A"/>
      <x:name val="Arial"/>
    </x:font>
    <x:font>
      <x:b/>
      <x:sz val="9"/>
      <x:color rgb="FFB7C9D8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25313C"/>
      </x:patternFill>
    </x:fill>
    <x:fill>
      <x:patternFill patternType="solid">
        <x:fgColor rgb="FFF3F5F7"/>
      </x:patternFill>
    </x:fill>
    <x:fill>
      <x:patternFill patternType="solid">
        <x:fgColor rgb="FFFFF2CC"/>
      </x:patternFill>
    </x:fill>
    <x:fill>
      <x:patternFill patternType="solid">
        <x:fgColor rgb="FFFFFFFF"/>
      </x:patternFill>
    </x:fill>
    <x:fill>
      <x:patternFill patternType="solid">
        <x:fgColor rgb="FF244A6B"/>
      </x:patternFill>
    </x:fill>
    <x:fill>
      <x:patternFill patternType="solid">
        <x:fgColor rgb="FF0D1B2A"/>
      </x:patternFill>
    </x:fill>
    <x:fill>
      <x:patternFill patternType="solid">
        <x:fgColor rgb="FF19324A"/>
      </x:patternFill>
    </x:fill>
    <x:fill>
      <x:patternFill patternType="solid">
        <x:fgColor rgb="FF14263A"/>
      </x:patternFill>
    </x:fill>
    <x:fill>
      <x:patternFill patternType="solid">
        <x:fgColor rgb="FF223B53"/>
      </x:patternFill>
    </x:fill>
    <x:fill>
      <x:patternFill patternType="solid">
        <x:fgColor rgb="FF0D1B2A"/>
      </x:patternFill>
    </x:fill>
    <x:fill>
      <x:patternFill patternType="solid">
        <x:fgColor rgb="FF193249"/>
      </x:patternFill>
    </x:fill>
    <x:fill>
      <x:patternFill patternType="solid">
        <x:fgColor rgb="FFFFF2CC"/>
      </x:patternFill>
    </x:fill>
  </x:fills>
  <x:borders count="14">
    <x:border/>
    <x:border>
      <x:left style="thin">
        <x:color rgb="FFD9E0E6"/>
      </x:left>
      <x:right style="thin">
        <x:color rgb="FFD9E0E6"/>
      </x:right>
      <x:top style="thin">
        <x:color rgb="FFD9E0E6"/>
      </x:top>
      <x:bottom style="thin">
        <x:color rgb="FFD9E0E6"/>
      </x:bottom>
    </x:border>
    <x:border>
      <x:left style="thin">
        <x:color rgb="FFD6C26E"/>
      </x:left>
      <x:right style="thin">
        <x:color rgb="FFD6C26E"/>
      </x:right>
      <x:top style="thin">
        <x:color rgb="FFD6C26E"/>
      </x:top>
      <x:bottom style="thin">
        <x:color rgb="FFD6C26E"/>
      </x:bottom>
    </x:border>
    <x:border>
      <x:left style="thin">
        <x:color rgb="FF31506B"/>
      </x:left>
      <x:top style="thin">
        <x:color rgb="FF31506B"/>
      </x:top>
      <x:bottom style="thin">
        <x:color rgb="FF31506B"/>
      </x:bottom>
    </x:border>
    <x:border>
      <x:top style="thin">
        <x:color rgb="FF31506B"/>
      </x:top>
      <x:bottom style="thin">
        <x:color rgb="FF31506B"/>
      </x:bottom>
    </x:border>
    <x:border>
      <x:right style="thin">
        <x:color rgb="FF31506B"/>
      </x:right>
      <x:top style="thin">
        <x:color rgb="FF31506B"/>
      </x:top>
      <x:bottom style="thin">
        <x:color rgb="FF31506B"/>
      </x:bottom>
    </x:border>
    <x:border>
      <x:left style="thin">
        <x:color rgb="FF31506B"/>
      </x:left>
      <x:top style="thin">
        <x:color rgb="FF31506B"/>
      </x:top>
    </x:border>
    <x:border>
      <x:top style="thin">
        <x:color rgb="FF31506B"/>
      </x:top>
    </x:border>
    <x:border>
      <x:right style="thin">
        <x:color rgb="FF31506B"/>
      </x:right>
      <x:top style="thin">
        <x:color rgb="FF31506B"/>
      </x:top>
    </x:border>
    <x:border>
      <x:left style="thin">
        <x:color rgb="FF31506B"/>
      </x:left>
    </x:border>
    <x:border>
      <x:right style="thin">
        <x:color rgb="FF31506B"/>
      </x:right>
    </x:border>
    <x:border>
      <x:left style="thin">
        <x:color rgb="FF31506B"/>
      </x:left>
      <x:bottom style="thin">
        <x:color rgb="FF31506B"/>
      </x:bottom>
    </x:border>
    <x:border>
      <x:bottom style="thin">
        <x:color rgb="FF31506B"/>
      </x:bottom>
    </x:border>
    <x:border>
      <x:right style="thin">
        <x:color rgb="FF31506B"/>
      </x:right>
      <x:bottom style="thin">
        <x:color rgb="FF31506B"/>
      </x:bottom>
    </x:border>
  </x:borders>
  <x:cellStyleXfs count="1">
    <x:xf numFmtId="0" fontId="0" fillId="0" borderId="0"/>
  </x:cellStyleXfs>
  <x:cellXfs count="154">
    <x:xf numFmtId="0" fontId="0" fillId="0" borderId="0" xfId="0"/>
    <x:xf numFmtId="0" fontId="5" fillId="3" borderId="1" xfId="0" applyFont="1" applyFill="1" applyBorder="1" applyAlignment="1">
      <x:alignment horizontal="left" vertical="center" wrapText="1"/>
    </x:xf>
    <x:xf numFmtId="0" fontId="5" fillId="2" borderId="1" xfId="0" applyFont="1" applyFill="1" applyBorder="1" applyAlignment="1">
      <x:alignment horizontal="center" vertical="center" wrapText="1"/>
    </x:xf>
    <x:xf numFmtId="0" fontId="5" fillId="3" borderId="1" xfId="0" applyFont="1" applyFill="1" applyBorder="1" applyAlignment="1">
      <x:alignment horizontal="center" vertical="center" wrapText="1"/>
    </x:xf>
    <x:xf numFmtId="0" fontId="4" fillId="6" borderId="1" xfId="0" applyFont="1" applyFill="1" applyBorder="1" applyAlignment="1">
      <x:alignment horizontal="left" vertical="center"/>
    </x:xf>
    <x:xf numFmtId="0" fontId="4" fillId="4" borderId="1" xfId="0" applyFont="1" applyFill="1" applyBorder="1" applyAlignment="1">
      <x:alignment horizontal="left" vertical="center"/>
    </x:xf>
    <x:xf numFmtId="165" fontId="4" fillId="6" borderId="1" xfId="0" applyNumberFormat="1" applyFont="1" applyFill="1" applyBorder="1" applyAlignment="1">
      <x:alignment horizontal="left" vertical="center"/>
    </x:xf>
    <x:xf numFmtId="166" fontId="4" fillId="6" borderId="1" xfId="0" applyNumberFormat="1" applyFont="1" applyFill="1" applyBorder="1" applyAlignment="1">
      <x:alignment horizontal="left" vertical="center"/>
    </x:xf>
    <x:xf numFmtId="167" fontId="4" fillId="6" borderId="1" xfId="0" applyNumberFormat="1" applyFont="1" applyFill="1" applyBorder="1" applyAlignment="1">
      <x:alignment horizontal="left" vertical="center"/>
    </x:xf>
    <x:xf numFmtId="168" fontId="4" fillId="6" borderId="1" xfId="0" applyNumberFormat="1" applyFont="1" applyFill="1" applyBorder="1" applyAlignment="1">
      <x:alignment horizontal="left" vertical="center"/>
    </x:xf>
    <x:xf numFmtId="170" fontId="4" fillId="6" borderId="1" xfId="0" applyNumberFormat="1" applyFont="1" applyFill="1" applyBorder="1" applyAlignment="1">
      <x:alignment horizontal="left" vertical="center"/>
    </x:xf>
    <x:xf numFmtId="17" fontId="4" fillId="6" borderId="1" xfId="0" applyNumberFormat="1" applyFont="1" applyFill="1" applyBorder="1" applyAlignment="1">
      <x:alignment horizontal="left" vertical="center"/>
    </x:xf>
    <x:xf numFmtId="0" fontId="6" fillId="8" borderId="0" xfId="0" applyFont="1" applyFill="1" applyAlignment="1">
      <x:alignment vertical="center"/>
    </x:xf>
    <x:xf numFmtId="171" fontId="12" fillId="10" borderId="11" xfId="0" applyNumberFormat="1" applyFont="1" applyFill="1" applyBorder="1" applyAlignment="1">
      <x:alignment horizontal="right" vertical="center"/>
    </x:xf>
    <x:xf numFmtId="0" fontId="13" fillId="10" borderId="12" xfId="0" applyFont="1" applyFill="1" applyBorder="1" applyAlignment="1">
      <x:alignment horizontal="left" vertical="center"/>
    </x:xf>
    <x:xf numFmtId="171" fontId="5" fillId="10" borderId="12" xfId="0" applyNumberFormat="1" applyFont="1" applyFill="1" applyBorder="1" applyAlignment="1">
      <x:alignment horizontal="right" vertical="center"/>
    </x:xf>
    <x:xf numFmtId="0" fontId="13" fillId="10" borderId="13" xfId="0" applyFont="1" applyFill="1" applyBorder="1" applyAlignment="1">
      <x:alignment horizontal="left" vertical="center"/>
    </x:xf>
    <x:xf numFmtId="0" fontId="5" fillId="11" borderId="1" xfId="0" applyFont="1" applyFill="1" applyBorder="1" applyAlignment="1">
      <x:alignment horizontal="center" vertical="center" wrapText="1"/>
    </x:xf>
    <x:xf numFmtId="0" fontId="5" fillId="10" borderId="1" xfId="0" applyFont="1" applyFill="1" applyBorder="1" applyAlignment="1">
      <x:alignment horizontal="left" vertical="center"/>
    </x:xf>
    <x:xf numFmtId="0" fontId="6" fillId="10" borderId="1" xfId="0" applyFont="1" applyFill="1" applyBorder="1" applyAlignment="1">
      <x:alignment horizontal="center" vertical="center"/>
    </x:xf>
    <x:xf numFmtId="165" fontId="6" fillId="10" borderId="1" xfId="0" applyNumberFormat="1" applyFont="1" applyFill="1" applyBorder="1" applyAlignment="1">
      <x:alignment horizontal="right" vertical="center"/>
    </x:xf>
    <x:xf numFmtId="166" fontId="6" fillId="10" borderId="1" xfId="0" applyNumberFormat="1" applyFont="1" applyFill="1" applyBorder="1" applyAlignment="1">
      <x:alignment horizontal="right" vertical="center"/>
    </x:xf>
    <x:xf numFmtId="167" fontId="6" fillId="10" borderId="1" xfId="0" applyNumberFormat="1" applyFont="1" applyFill="1" applyBorder="1" applyAlignment="1">
      <x:alignment horizontal="right" vertical="center"/>
    </x:xf>
    <x:xf numFmtId="168" fontId="6" fillId="10" borderId="1" xfId="0" applyNumberFormat="1" applyFont="1" applyFill="1" applyBorder="1" applyAlignment="1">
      <x:alignment horizontal="right" vertical="center"/>
    </x:xf>
    <x:xf numFmtId="170" fontId="6" fillId="10" borderId="1" xfId="0" applyNumberFormat="1" applyFont="1" applyFill="1" applyBorder="1" applyAlignment="1">
      <x:alignment horizontal="right" vertical="center"/>
    </x:xf>
    <x:xf numFmtId="164" fontId="17" fillId="6" borderId="1" xfId="0" applyNumberFormat="1" applyFont="1" applyFill="1" applyBorder="1" applyAlignment="1">
      <x:alignment horizontal="left" vertical="center"/>
    </x:xf>
    <x:xf numFmtId="0" fontId="17" fillId="4" borderId="1" xfId="0" applyFont="1" applyFill="1" applyBorder="1" applyAlignment="1">
      <x:alignment horizontal="left" vertical="center"/>
    </x:xf>
    <x:xf numFmtId="0" fontId="0" fillId="0" borderId="0" xfId="0" applyAlignment="1">
      <x:alignment vertical="center"/>
    </x:xf>
    <x:xf numFmtId="0" fontId="16" fillId="0" borderId="0" xfId="0" applyFont="1" applyAlignment="1">
      <x:alignment vertical="center"/>
    </x:xf>
    <x:xf numFmtId="164" fontId="18" fillId="5" borderId="2" xfId="0" applyNumberFormat="1" applyFont="1" applyFill="1" applyBorder="1" applyAlignment="1">
      <x:alignment horizontal="left" vertical="center"/>
    </x:xf>
    <x:xf numFmtId="164" fontId="18" fillId="5" borderId="2" xfId="0" applyNumberFormat="1" applyFont="1" applyFill="1" applyBorder="1" applyAlignment="1">
      <x:alignment horizontal="right" vertical="center"/>
    </x:xf>
    <x:xf numFmtId="165" fontId="18" fillId="5" borderId="2" xfId="0" applyNumberFormat="1" applyFont="1" applyFill="1" applyBorder="1" applyAlignment="1">
      <x:alignment horizontal="right" vertical="center"/>
    </x:xf>
    <x:xf numFmtId="166" fontId="18" fillId="5" borderId="2" xfId="0" applyNumberFormat="1" applyFont="1" applyFill="1" applyBorder="1" applyAlignment="1">
      <x:alignment horizontal="right" vertical="center"/>
    </x:xf>
    <x:xf numFmtId="167" fontId="18" fillId="5" borderId="2" xfId="0" applyNumberFormat="1" applyFont="1" applyFill="1" applyBorder="1" applyAlignment="1">
      <x:alignment horizontal="right" vertical="center"/>
    </x:xf>
    <x:xf numFmtId="168" fontId="18" fillId="5" borderId="2" xfId="0" applyNumberFormat="1" applyFont="1" applyFill="1" applyBorder="1" applyAlignment="1">
      <x:alignment horizontal="right" vertical="center"/>
    </x:xf>
    <x:xf numFmtId="169" fontId="18" fillId="5" borderId="2" xfId="0" applyNumberFormat="1" applyFont="1" applyFill="1" applyBorder="1" applyAlignment="1">
      <x:alignment horizontal="right" vertical="center"/>
    </x:xf>
    <x:xf numFmtId="0" fontId="1" fillId="12" borderId="0" xfId="0" applyFont="1" applyFill="1" applyAlignment="1">
      <x:alignment vertical="center"/>
    </x:xf>
    <x:xf numFmtId="0" fontId="2" fillId="12" borderId="0" xfId="0" applyFont="1" applyFill="1" applyAlignment="1">
      <x:alignment vertical="center"/>
    </x:xf>
    <x:xf numFmtId="0" fontId="19" fillId="12" borderId="0" xfId="0" applyFont="1" applyFill="1" applyAlignment="1">
      <x:alignment vertical="center"/>
    </x:xf>
    <x:xf numFmtId="0" fontId="1" fillId="8" borderId="0" xfId="0" applyFont="1" applyFill="1" applyAlignment="1">
      <x:alignment vertical="center"/>
    </x:xf>
    <x:xf numFmtId="0" fontId="7" fillId="9" borderId="3" xfId="0" applyFont="1" applyFill="1" applyBorder="1" applyAlignment="1">
      <x:alignment horizontal="left" vertical="center"/>
    </x:xf>
    <x:xf numFmtId="0" fontId="7" fillId="9" borderId="4" xfId="0" applyFont="1" applyFill="1" applyBorder="1" applyAlignment="1">
      <x:alignment horizontal="left" vertical="center"/>
    </x:xf>
    <x:xf numFmtId="0" fontId="7" fillId="9" borderId="5" xfId="0" applyFont="1" applyFill="1" applyBorder="1" applyAlignment="1">
      <x:alignment horizontal="left" vertical="center"/>
    </x:xf>
    <x:xf numFmtId="164" fontId="8" fillId="9" borderId="3" xfId="0" applyNumberFormat="1" applyFont="1" applyFill="1" applyBorder="1" applyAlignment="1">
      <x:alignment horizontal="left" vertical="center"/>
    </x:xf>
    <x:xf numFmtId="164" fontId="8" fillId="9" borderId="4" xfId="0" applyNumberFormat="1" applyFont="1" applyFill="1" applyBorder="1" applyAlignment="1">
      <x:alignment horizontal="left" vertical="center"/>
    </x:xf>
    <x:xf numFmtId="164" fontId="8" fillId="9" borderId="5" xfId="0" applyNumberFormat="1" applyFont="1" applyFill="1" applyBorder="1" applyAlignment="1">
      <x:alignment horizontal="left" vertical="center"/>
    </x:xf>
    <x:xf numFmtId="0" fontId="9" fillId="8" borderId="0" xfId="0" applyFont="1" applyFill="1" applyAlignment="1">
      <x:alignment horizontal="left" vertical="center"/>
    </x:xf>
    <x:xf numFmtId="0" fontId="10" fillId="10" borderId="6" xfId="0" applyFont="1" applyFill="1" applyBorder="1" applyAlignment="1">
      <x:alignment horizontal="left" vertical="center"/>
    </x:xf>
    <x:xf numFmtId="0" fontId="10" fillId="10" borderId="7" xfId="0" applyFont="1" applyFill="1" applyBorder="1" applyAlignment="1">
      <x:alignment horizontal="left" vertical="center"/>
    </x:xf>
    <x:xf numFmtId="0" fontId="10" fillId="10" borderId="8" xfId="0" applyFont="1" applyFill="1" applyBorder="1" applyAlignment="1">
      <x:alignment horizontal="left" vertical="center"/>
    </x:xf>
    <x:xf numFmtId="165" fontId="11" fillId="10" borderId="9" xfId="0" applyNumberFormat="1" applyFont="1" applyFill="1" applyBorder="1" applyAlignment="1">
      <x:alignment horizontal="left" vertical="center"/>
    </x:xf>
    <x:xf numFmtId="165" fontId="11" fillId="10" borderId="0" xfId="0" applyNumberFormat="1" applyFont="1" applyFill="1" applyAlignment="1">
      <x:alignment horizontal="left" vertical="center"/>
    </x:xf>
    <x:xf numFmtId="165" fontId="11" fillId="10" borderId="10" xfId="0" applyNumberFormat="1" applyFont="1" applyFill="1" applyBorder="1" applyAlignment="1">
      <x:alignment horizontal="left" vertical="center"/>
    </x:xf>
    <x:xf numFmtId="166" fontId="11" fillId="10" borderId="9" xfId="0" applyNumberFormat="1" applyFont="1" applyFill="1" applyBorder="1" applyAlignment="1">
      <x:alignment horizontal="left" vertical="center"/>
    </x:xf>
    <x:xf numFmtId="166" fontId="11" fillId="10" borderId="0" xfId="0" applyNumberFormat="1" applyFont="1" applyFill="1" applyAlignment="1">
      <x:alignment horizontal="left" vertical="center"/>
    </x:xf>
    <x:xf numFmtId="166" fontId="11" fillId="10" borderId="10" xfId="0" applyNumberFormat="1" applyFont="1" applyFill="1" applyBorder="1" applyAlignment="1">
      <x:alignment horizontal="left" vertical="center"/>
    </x:xf>
    <x:xf numFmtId="0" fontId="3" fillId="9" borderId="0" xfId="0" applyFont="1" applyFill="1" applyAlignment="1">
      <x:alignment horizontal="left" vertical="center"/>
    </x:xf>
    <x:xf numFmtId="0" fontId="14" fillId="10" borderId="6" xfId="0" applyFont="1" applyFill="1" applyBorder="1" applyAlignment="1">
      <x:alignment horizontal="left" vertical="center" wrapText="1"/>
    </x:xf>
    <x:xf numFmtId="0" fontId="14" fillId="10" borderId="7" xfId="0" applyFont="1" applyFill="1" applyBorder="1" applyAlignment="1">
      <x:alignment horizontal="left" vertical="center" wrapText="1"/>
    </x:xf>
    <x:xf numFmtId="0" fontId="14" fillId="10" borderId="8" xfId="0" applyFont="1" applyFill="1" applyBorder="1" applyAlignment="1">
      <x:alignment horizontal="left" vertical="center" wrapText="1"/>
    </x:xf>
    <x:xf numFmtId="0" fontId="14" fillId="10" borderId="9" xfId="0" applyFont="1" applyFill="1" applyBorder="1" applyAlignment="1">
      <x:alignment horizontal="left" vertical="center" wrapText="1"/>
    </x:xf>
    <x:xf numFmtId="0" fontId="14" fillId="10" borderId="0" xfId="0" applyFont="1" applyFill="1" applyAlignment="1">
      <x:alignment horizontal="left" vertical="center" wrapText="1"/>
    </x:xf>
    <x:xf numFmtId="0" fontId="14" fillId="10" borderId="10" xfId="0" applyFont="1" applyFill="1" applyBorder="1" applyAlignment="1">
      <x:alignment horizontal="left" vertical="center" wrapText="1"/>
    </x:xf>
    <x:xf numFmtId="0" fontId="14" fillId="10" borderId="11" xfId="0" applyFont="1" applyFill="1" applyBorder="1" applyAlignment="1">
      <x:alignment horizontal="left" vertical="center" wrapText="1"/>
    </x:xf>
    <x:xf numFmtId="0" fontId="14" fillId="10" borderId="12" xfId="0" applyFont="1" applyFill="1" applyBorder="1" applyAlignment="1">
      <x:alignment horizontal="left" vertical="center" wrapText="1"/>
    </x:xf>
    <x:xf numFmtId="0" fontId="14" fillId="10" borderId="13" xfId="0" applyFont="1" applyFill="1" applyBorder="1" applyAlignment="1">
      <x:alignment horizontal="left" vertical="center" wrapText="1"/>
    </x:xf>
    <x:xf numFmtId="0" fontId="15" fillId="9" borderId="6" xfId="0" applyFont="1" applyFill="1" applyBorder="1" applyAlignment="1">
      <x:alignment horizontal="left" vertical="center" wrapText="1"/>
    </x:xf>
    <x:xf numFmtId="0" fontId="15" fillId="9" borderId="7" xfId="0" applyFont="1" applyFill="1" applyBorder="1" applyAlignment="1">
      <x:alignment horizontal="left" vertical="center" wrapText="1"/>
    </x:xf>
    <x:xf numFmtId="0" fontId="15" fillId="9" borderId="8" xfId="0" applyFont="1" applyFill="1" applyBorder="1" applyAlignment="1">
      <x:alignment horizontal="left" vertical="center" wrapText="1"/>
    </x:xf>
    <x:xf numFmtId="0" fontId="15" fillId="9" borderId="9" xfId="0" applyFont="1" applyFill="1" applyBorder="1" applyAlignment="1">
      <x:alignment horizontal="left" vertical="center" wrapText="1"/>
    </x:xf>
    <x:xf numFmtId="0" fontId="15" fillId="9" borderId="0" xfId="0" applyFont="1" applyFill="1" applyAlignment="1">
      <x:alignment horizontal="left" vertical="center" wrapText="1"/>
    </x:xf>
    <x:xf numFmtId="0" fontId="15" fillId="9" borderId="10" xfId="0" applyFont="1" applyFill="1" applyBorder="1" applyAlignment="1">
      <x:alignment horizontal="left" vertical="center" wrapText="1"/>
    </x:xf>
    <x:xf numFmtId="0" fontId="15" fillId="9" borderId="11" xfId="0" applyFont="1" applyFill="1" applyBorder="1" applyAlignment="1">
      <x:alignment horizontal="left" vertical="center" wrapText="1"/>
    </x:xf>
    <x:xf numFmtId="0" fontId="15" fillId="9" borderId="12" xfId="0" applyFont="1" applyFill="1" applyBorder="1" applyAlignment="1">
      <x:alignment horizontal="left" vertical="center" wrapText="1"/>
    </x:xf>
    <x:xf numFmtId="0" fontId="15" fillId="9" borderId="13" xfId="0" applyFont="1" applyFill="1" applyBorder="1" applyAlignment="1">
      <x:alignment horizontal="left" vertical="center" wrapText="1"/>
    </x:xf>
    <x:xf numFmtId="170" fontId="11" fillId="10" borderId="9" xfId="0" applyNumberFormat="1" applyFont="1" applyFill="1" applyBorder="1" applyAlignment="1">
      <x:alignment horizontal="left" vertical="center"/>
    </x:xf>
    <x:xf numFmtId="170" fontId="11" fillId="10" borderId="0" xfId="0" applyNumberFormat="1" applyFont="1" applyFill="1" applyAlignment="1">
      <x:alignment horizontal="left" vertical="center"/>
    </x:xf>
    <x:xf numFmtId="170" fontId="11" fillId="10" borderId="10" xfId="0" applyNumberFormat="1" applyFont="1" applyFill="1" applyBorder="1" applyAlignment="1">
      <x:alignment horizontal="left" vertical="center"/>
    </x:xf>
    <x:xf numFmtId="167" fontId="11" fillId="10" borderId="9" xfId="0" applyNumberFormat="1" applyFont="1" applyFill="1" applyBorder="1" applyAlignment="1">
      <x:alignment horizontal="left" vertical="center"/>
    </x:xf>
    <x:xf numFmtId="167" fontId="11" fillId="10" borderId="0" xfId="0" applyNumberFormat="1" applyFont="1" applyFill="1" applyAlignment="1">
      <x:alignment horizontal="left" vertical="center"/>
    </x:xf>
    <x:xf numFmtId="167" fontId="11" fillId="10" borderId="10" xfId="0" applyNumberFormat="1" applyFont="1" applyFill="1" applyBorder="1" applyAlignment="1">
      <x:alignment horizontal="left" vertical="center"/>
    </x:xf>
    <x:xf numFmtId="168" fontId="11" fillId="10" borderId="9" xfId="0" applyNumberFormat="1" applyFont="1" applyFill="1" applyBorder="1" applyAlignment="1">
      <x:alignment horizontal="left" vertical="center"/>
    </x:xf>
    <x:xf numFmtId="168" fontId="11" fillId="10" borderId="0" xfId="0" applyNumberFormat="1" applyFont="1" applyFill="1" applyAlignment="1">
      <x:alignment horizontal="left" vertical="center"/>
    </x:xf>
    <x:xf numFmtId="168" fontId="11" fillId="10" borderId="10" xfId="0" applyNumberFormat="1" applyFont="1" applyFill="1" applyBorder="1" applyAlignment="1">
      <x:alignment horizontal="left" vertical="center"/>
    </x:xf>
    <x:xf numFmtId="0" fontId="4" fillId="6" borderId="1" xfId="0" applyFont="1" applyFill="1" applyBorder="1" applyAlignment="1">
      <x:alignment horizontal="left" vertical="center" wrapText="1"/>
    </x:xf>
    <x:xf numFmtId="0" fontId="3" fillId="7" borderId="0" xfId="0" applyFont="1" applyFill="1" applyAlignment="1">
      <x:alignment horizontal="left" vertical="center"/>
    </x:xf>
    <x:xf numFmtId="0" fontId="5" fillId="7" borderId="0" xfId="0" applyFont="1" applyFill="1" applyAlignment="1">
      <x:alignment horizontal="left" vertical="center"/>
    </x:xf>
    <x:xf numFmtId="0" fontId="3" fillId="3" borderId="0" xfId="0" applyFont="1" applyFill="1" applyAlignment="1">
      <x:alignment horizontal="left" vertical="center"/>
    </x:xf>
    <x:xf numFmtId="0" fontId="4" fillId="4" borderId="1" xfId="0" applyFont="1" applyFill="1" applyBorder="1" applyAlignment="1">
      <x:alignment horizontal="left" vertical="center" wrapText="1"/>
    </x:xf>
    <x:xf numFmtId="200" fontId="18" fillId="5" borderId="2" xfId="0" applyNumberFormat="1" applyFont="1" applyFill="1" applyBorder="1" applyAlignment="1">
      <x:alignment horizontal="left" vertical="center"/>
    </x:xf>
    <x:xf numFmtId="200" fontId="17" fillId="6" borderId="1" xfId="0" applyNumberFormat="1" applyFont="1" applyFill="1" applyBorder="1" applyAlignment="1">
      <x:alignment horizontal="left" vertical="center"/>
    </x:xf>
    <x:xf numFmtId="0" fontId="20" fillId="2" borderId="1" xfId="0" applyNumberFormat="1" applyFont="1" applyFill="1" applyBorder="1" applyAlignment="1">
      <x:alignment horizontal="center" vertical="center" wrapText="1"/>
    </x:xf>
    <x:xf numFmtId="164" fontId="21" fillId="5" borderId="2" xfId="0" applyNumberFormat="1" applyFont="1" applyFill="1" applyBorder="1" applyAlignment="1">
      <x:alignment horizontal="right" vertical="center"/>
    </x:xf>
    <x:xf numFmtId="165" fontId="21" fillId="5" borderId="2" xfId="0" applyNumberFormat="1" applyFont="1" applyFill="1" applyBorder="1" applyAlignment="1">
      <x:alignment horizontal="right" vertical="center"/>
    </x:xf>
    <x:xf numFmtId="166" fontId="21" fillId="5" borderId="2" xfId="0" applyNumberFormat="1" applyFont="1" applyFill="1" applyBorder="1" applyAlignment="1">
      <x:alignment horizontal="right" vertical="center"/>
    </x:xf>
    <x:xf numFmtId="167" fontId="21" fillId="5" borderId="2" xfId="0" applyNumberFormat="1" applyFont="1" applyFill="1" applyBorder="1" applyAlignment="1">
      <x:alignment horizontal="right" vertical="center"/>
    </x:xf>
    <x:xf numFmtId="168" fontId="21" fillId="5" borderId="2" xfId="0" applyNumberFormat="1" applyFont="1" applyFill="1" applyBorder="1" applyAlignment="1">
      <x:alignment horizontal="right" vertical="center"/>
    </x:xf>
    <x:xf numFmtId="0" fontId="20" fillId="13" borderId="1" xfId="0" applyNumberFormat="1" applyFont="1" applyFill="1" applyBorder="1" applyAlignment="1">
      <x:alignment horizontal="center" vertical="center" wrapText="1"/>
    </x:xf>
    <x:xf numFmtId="0" fontId="3" fillId="13" borderId="1" xfId="0" applyNumberFormat="1" applyFont="1" applyFill="1" applyBorder="1" applyAlignment="1">
      <x:alignment horizontal="center" vertical="center" wrapText="1"/>
    </x:xf>
    <x:xf numFmtId="201" fontId="21" fillId="5" borderId="2" xfId="0" applyNumberFormat="1" applyFont="1" applyFill="1" applyBorder="1" applyAlignment="1">
      <x:alignment horizontal="right" vertical="center"/>
    </x:xf>
    <x:xf numFmtId="202" fontId="21" fillId="5" borderId="2" xfId="0" applyNumberFormat="1" applyFont="1" applyFill="1" applyBorder="1" applyAlignment="1">
      <x:alignment horizontal="right" vertical="center"/>
    </x:xf>
    <x:xf numFmtId="203" fontId="21" fillId="5" borderId="2" xfId="0" applyNumberFormat="1" applyFont="1" applyFill="1" applyBorder="1" applyAlignment="1">
      <x:alignment horizontal="right" vertical="center"/>
    </x:xf>
    <x:xf numFmtId="204" fontId="21" fillId="5" borderId="2" xfId="0" applyNumberFormat="1" applyFont="1" applyFill="1" applyBorder="1" applyAlignment="1">
      <x:alignment horizontal="right" vertical="center"/>
    </x:xf>
    <x:xf numFmtId="164" fontId="21" fillId="5" borderId="2" xfId="0" applyNumberFormat="1" applyFont="1" applyFill="1" applyBorder="1" applyAlignment="1">
      <x:alignment horizontal="left" vertical="center"/>
    </x:xf>
    <x:xf numFmtId="168" fontId="21" fillId="5" borderId="2" xfId="0" applyNumberFormat="1" applyFont="1" applyFill="1" applyBorder="1" applyAlignment="1">
      <x:alignment horizontal="left" vertical="center"/>
    </x:xf>
    <x:xf numFmtId="166" fontId="21" fillId="5" borderId="2" xfId="0" applyNumberFormat="1" applyFont="1" applyFill="1" applyBorder="1" applyAlignment="1">
      <x:alignment horizontal="left" vertical="center"/>
    </x:xf>
    <x:xf numFmtId="201" fontId="5" fillId="3" borderId="1" xfId="0" applyNumberFormat="1" applyFont="1" applyFill="1" applyBorder="1" applyAlignment="1">
      <x:alignment horizontal="center" vertical="center" wrapText="1"/>
    </x:xf>
    <x:xf numFmtId="201" fontId="18" fillId="5" borderId="2" xfId="0" applyNumberFormat="1" applyFont="1" applyFill="1" applyBorder="1" applyAlignment="1">
      <x:alignment horizontal="right" vertical="center"/>
    </x:xf>
    <x:xf numFmtId="201" fontId="5" fillId="14" borderId="1" xfId="0" applyNumberFormat="1" applyFont="1" applyFill="1" applyBorder="1" applyAlignment="1">
      <x:alignment horizontal="center" vertical="center" wrapText="1"/>
    </x:xf>
    <x:xf numFmtId="201" fontId="18" fillId="14" borderId="2" xfId="0" applyNumberFormat="1" applyFont="1" applyFill="1" applyBorder="1" applyAlignment="1">
      <x:alignment horizontal="right" vertical="center"/>
    </x:xf>
    <x:xf numFmtId="0" fontId="21" fillId="0" borderId="0" xfId="0" applyNumberFormat="1" applyFont="1" applyFill="1" applyBorder="1"/>
    <x:xf numFmtId="0" fontId="21" fillId="13" borderId="0" xfId="0" applyNumberFormat="1" applyFont="1" applyFill="1" applyBorder="1"/>
    <x:xf numFmtId="0" fontId="3" fillId="13" borderId="0" xfId="0" applyNumberFormat="1" applyFont="1" applyFill="1" applyBorder="1"/>
    <x:xf numFmtId="0" fontId="3" fillId="13" borderId="0" xfId="0" applyNumberFormat="1" applyFont="1" applyFill="1" applyBorder="1" applyAlignment="1">
      <x:alignment wrapText="1"/>
    </x:xf>
    <x:xf numFmtId="201" fontId="21" fillId="0" borderId="0" xfId="0" applyNumberFormat="1" applyFont="1" applyFill="1" applyBorder="1"/>
    <x:xf numFmtId="203" fontId="21" fillId="0" borderId="0" xfId="0" applyNumberFormat="1" applyFont="1" applyFill="1" applyBorder="1"/>
    <x:xf numFmtId="202" fontId="21" fillId="0" borderId="0" xfId="0" applyNumberFormat="1" applyFont="1" applyFill="1" applyBorder="1"/>
    <x:xf numFmtId="204" fontId="21" fillId="0" borderId="0" xfId="0" applyNumberFormat="1" applyFont="1" applyFill="1" applyBorder="1"/>
    <x:xf numFmtId="0" fontId="21" fillId="0" borderId="0" xfId="0" applyNumberFormat="1" applyFont="1" applyFill="1" applyBorder="1" applyAlignment="1">
      <x:alignment horizontal="left"/>
    </x:xf>
    <x:xf numFmtId="0" fontId="22" fillId="0" borderId="0" xfId="0" applyNumberFormat="1" applyFont="1" applyFill="1" applyBorder="1"/>
    <x:xf numFmtId="0" fontId="21" fillId="0" borderId="0" xfId="0" applyNumberFormat="1" applyFont="1" applyFill="1" applyBorder="1" applyAlignment="1">
      <x:alignment vertical="center"/>
    </x:xf>
    <x:xf numFmtId="0" fontId="21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/>
    </x:xf>
    <x:xf numFmtId="0" fontId="3" fillId="13" borderId="0" xfId="0" applyNumberFormat="1" applyFont="1" applyFill="1" applyBorder="1" applyAlignment="1">
      <x:alignment vertical="center" wrapText="1"/>
    </x:xf>
    <x:xf numFmtId="200" fontId="21" fillId="0" borderId="0" xfId="0" applyNumberFormat="1" applyFont="1" applyFill="1" applyBorder="1" applyAlignment="1">
      <x:alignment vertical="center"/>
    </x:xf>
    <x:xf numFmtId="203" fontId="21" fillId="0" borderId="0" xfId="0" applyNumberFormat="1" applyFont="1" applyFill="1" applyBorder="1" applyAlignment="1">
      <x:alignment vertical="center"/>
    </x:xf>
    <x:xf numFmtId="201" fontId="21" fillId="0" borderId="0" xfId="0" applyNumberFormat="1" applyFont="1" applyFill="1" applyBorder="1" applyAlignment="1">
      <x:alignment vertical="center"/>
    </x:xf>
    <x:xf numFmtId="0" fontId="20" fillId="3" borderId="1" xfId="0" applyNumberFormat="1" applyFont="1" applyFill="1" applyBorder="1" applyAlignment="1">
      <x:alignment horizontal="center" vertical="center" wrapText="1"/>
    </x:xf>
    <x:xf numFmtId="0" fontId="21" fillId="6" borderId="1" xfId="0" applyNumberFormat="1" applyFont="1" applyFill="1" applyBorder="1" applyAlignment="1">
      <x:alignment horizontal="left" vertical="center"/>
    </x:xf>
    <x:xf numFmtId="17" fontId="21" fillId="6" borderId="1" xfId="0" applyNumberFormat="1" applyFont="1" applyFill="1" applyBorder="1" applyAlignment="1">
      <x:alignment horizontal="left" vertical="center"/>
    </x:xf>
    <x:xf numFmtId="165" fontId="21" fillId="6" borderId="1" xfId="0" applyNumberFormat="1" applyFont="1" applyFill="1" applyBorder="1" applyAlignment="1">
      <x:alignment horizontal="left" vertical="center"/>
    </x:xf>
    <x:xf numFmtId="168" fontId="21" fillId="6" borderId="1" xfId="0" applyNumberFormat="1" applyFont="1" applyFill="1" applyBorder="1" applyAlignment="1">
      <x:alignment horizontal="left" vertical="center"/>
    </x:xf>
    <x:xf numFmtId="166" fontId="21" fillId="6" borderId="1" xfId="0" applyNumberFormat="1" applyFont="1" applyFill="1" applyBorder="1" applyAlignment="1">
      <x:alignment horizontal="left" vertical="center"/>
    </x:xf>
    <x:xf numFmtId="167" fontId="21" fillId="6" borderId="1" xfId="0" applyNumberFormat="1" applyFont="1" applyFill="1" applyBorder="1" applyAlignment="1">
      <x:alignment horizontal="left" vertical="center"/>
    </x:xf>
    <x:xf numFmtId="170" fontId="21" fillId="6" borderId="1" xfId="0" applyNumberFormat="1" applyFont="1" applyFill="1" applyBorder="1" applyAlignment="1">
      <x:alignment horizontal="left" vertical="center"/>
    </x:xf>
    <x:xf numFmtId="0" fontId="21" fillId="13" borderId="1" xfId="0" applyNumberFormat="1" applyFont="1" applyFill="1" applyBorder="1" applyAlignment="1">
      <x:alignment horizontal="left" vertical="center"/>
    </x:xf>
    <x:xf numFmtId="0" fontId="3" fillId="13" borderId="1" xfId="0" applyNumberFormat="1" applyFont="1" applyFill="1" applyBorder="1" applyAlignment="1">
      <x:alignment horizontal="left" vertical="center"/>
    </x:xf>
    <x:xf numFmtId="203" fontId="21" fillId="6" borderId="1" xfId="0" applyNumberFormat="1" applyFont="1" applyFill="1" applyBorder="1" applyAlignment="1">
      <x:alignment horizontal="left" vertical="center"/>
    </x:xf>
    <x:xf numFmtId="201" fontId="21" fillId="6" borderId="1" xfId="0" applyNumberFormat="1" applyFont="1" applyFill="1" applyBorder="1" applyAlignment="1">
      <x:alignment horizontal="left" vertical="center"/>
    </x:xf>
    <x:xf numFmtId="204" fontId="21" fillId="6" borderId="1" xfId="0" applyNumberFormat="1" applyFont="1" applyFill="1" applyBorder="1" applyAlignment="1">
      <x:alignment horizontal="left" vertical="center"/>
    </x:xf>
    <x:xf numFmtId="205" fontId="21" fillId="6" borderId="1" xfId="0" applyNumberFormat="1" applyFont="1" applyFill="1" applyBorder="1" applyAlignment="1">
      <x:alignment horizontal="left" vertical="center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0" fontId="8" fillId="9" borderId="3" xfId="0" applyNumberFormat="1" applyFont="1" applyFill="1" applyBorder="1" applyAlignment="1">
      <x:alignment horizontal="left" vertical="center"/>
    </x:xf>
    <x:xf numFmtId="200" fontId="8" fillId="9" borderId="4" xfId="0" applyNumberFormat="1" applyFont="1" applyFill="1" applyBorder="1" applyAlignment="1">
      <x:alignment horizontal="left" vertical="center"/>
    </x:xf>
    <x:xf numFmtId="200" fontId="8" fillId="9" borderId="5" xfId="0" applyNumberFormat="1" applyFont="1" applyFill="1" applyBorder="1" applyAlignment="1">
      <x:alignment horizontal="left" vertical="center"/>
    </x:xf>
    <x:xf numFmtId="201" fontId="11" fillId="10" borderId="9" xfId="0" applyNumberFormat="1" applyFont="1" applyFill="1" applyBorder="1" applyAlignment="1">
      <x:alignment horizontal="left" vertical="center"/>
    </x:xf>
    <x:xf numFmtId="204" fontId="11" fillId="10" borderId="9" xfId="0" applyNumberFormat="1" applyFont="1" applyFill="1" applyBorder="1" applyAlignment="1">
      <x:alignment horizontal="left" vertical="center"/>
    </x:xf>
    <x:xf numFmtId="171" fontId="23" fillId="10" borderId="11" xfId="0" applyNumberFormat="1" applyFont="1" applyFill="1" applyBorder="1" applyAlignment="1">
      <x:alignment horizontal="right" vertical="center"/>
    </x:xf>
    <x:xf numFmtId="205" fontId="23" fillId="10" borderId="11" xfId="0" applyNumberFormat="1" applyFont="1" applyFill="1" applyBorder="1" applyAlignment="1">
      <x:alignment horizontal="right" vertical="center"/>
    </x:xf>
    <x:xf numFmtId="201" fontId="6" fillId="10" borderId="1" xfId="0" applyNumberFormat="1" applyFont="1" applyFill="1" applyBorder="1" applyAlignment="1">
      <x:alignment horizontal="right" vertical="center"/>
    </x:xf>
    <x:xf numFmtId="204" fontId="6" fillId="10" borderId="1" xfId="0" applyNumberFormat="1" applyFont="1" applyFill="1" applyBorder="1" applyAlignment="1">
      <x:alignment horizontal="right" vertical="center"/>
    </x:xf>
    <x:xf numFmtId="203" fontId="6" fillId="10" borderId="1" xfId="0" applyNumberFormat="1" applyFont="1" applyFill="1" applyBorder="1" applyAlignment="1">
      <x:alignment horizontal="right" vertical="center"/>
    </x:xf>
    <x:xf numFmtId="0" fontId="6" fillId="1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  <x:dxfs count="8">
    <x:dxf>
      <x:font>
        <x:b/>
        <x:color rgb="FFB3261E"/>
      </x:font>
      <x:fill>
        <x:patternFill>
          <x:bgColor rgb="FFF4CCCC"/>
        </x:patternFill>
      </x:fill>
    </x:dxf>
    <x:dxf>
      <x:font>
        <x:b/>
        <x:color rgb="FF8A6400"/>
      </x:font>
      <x:fill>
        <x:patternFill>
          <x:bgColor rgb="FFFFF2CC"/>
        </x:patternFill>
      </x:fill>
    </x:dxf>
    <x:dxf>
      <x:font>
        <x:b/>
        <x:color rgb="FF2E7D32"/>
      </x:font>
      <x:fill>
        <x:patternFill>
          <x:bgColor rgb="FFD9EAD3"/>
        </x:patternFill>
      </x:fill>
    </x:dxf>
    <x:dxf>
      <x:font>
        <x:color rgb="FFC00050"/>
      </x:font>
    </x:dxf>
    <x:dxf>
      <x:fill>
        <x:patternFill patternType="solid">
          <x:bgColor rgb="FFE7F7BD"/>
        </x:patternFill>
      </x:fill>
    </x:dxf>
    <x:dxf>
      <x:fill>
        <x:patternFill patternType="solid">
          <x:bgColor rgb="FFFCE4EE"/>
        </x:patternFill>
      </x:fill>
    </x:dxf>
    <x:dxf>
      <x:font>
        <x:b/>
        <x:color rgb="FF0D1B2A"/>
      </x:font>
      <x:fill>
        <x:patternFill patternType="solid">
          <x:bgColor rgb="FFE7F7BD"/>
        </x:patternFill>
      </x:fill>
    </x:dxf>
    <x:dxf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6765ce2b9f4678" /><Relationship Type="http://schemas.openxmlformats.org/officeDocument/2006/relationships/theme" Target="/xl/theme/theme1.xml" Id="Rf24671ea14004dd1" /><Relationship Type="http://schemas.openxmlformats.org/officeDocument/2006/relationships/sharedStrings" Target="/xl/sharedStrings.xml" Id="R33bd4a2c9f874e97" /><Relationship Type="http://schemas.openxmlformats.org/officeDocument/2006/relationships/worksheet" Target="/xl/worksheets/sheet1.xml" Id="R94f03c8dcff644f3" /><Relationship Type="http://schemas.openxmlformats.org/officeDocument/2006/relationships/worksheet" Target="/xl/worksheets/sheet2.xml" Id="R4c2f0803070a4186" /><Relationship Type="http://schemas.openxmlformats.org/officeDocument/2006/relationships/worksheet" Target="/xl/worksheets/sheet3.xml" Id="Rc7f6516328f64fd8" /><Relationship Type="http://schemas.openxmlformats.org/officeDocument/2006/relationships/worksheet" Target="/xl/worksheets/sheet4.xml" Id="Rdcab45dc081648e0" /><Relationship Type="http://schemas.openxmlformats.org/officeDocument/2006/relationships/worksheet" Target="/xl/worksheets/sheet5.xml" Id="R0fe43e28248e4dd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b9f30f30cc54420a" /><Relationship Type="http://schemas.openxmlformats.org/officeDocument/2006/relationships/chart" Target="/xl/drawings/charts/chart2.xml" Id="Rdab7d2dac42a4a81" /><Relationship Type="http://schemas.openxmlformats.org/officeDocument/2006/relationships/chart" Target="/xl/drawings/charts/chart3.xml" Id="R8112475026fa45c1" /><Relationship Type="http://schemas.openxmlformats.org/officeDocument/2006/relationships/chart" Target="/xl/drawings/charts/chart4.xml" Id="R5bb60b5d471544b3" /></Relationships>
</file>

<file path=xl/drawings/charts/chart1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季度末净值（USDT）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1"/>
        <c:ser>
          <c:idx val="0"/>
          <c:order val="0"/>
          <c:tx>
            <c:v>EMA25原退出</c:v>
          </c:tx>
          <c:spPr>
            <a:solidFill xmlns:a="http://schemas.openxmlformats.org/drawingml/2006/main">
              <a:srgbClr val="BDFE30"/>
            </a:solidFill>
            <a:ln xmlns:a="http://schemas.openxmlformats.org/drawingml/2006/main" w="19050">
              <a:solidFill>
                <a:srgbClr val="BDFE30"/>
              </a:solidFill>
              <a:prstDash val="solid"/>
            </a:ln>
          </c:spPr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Helpers'!$I$2:$I$13</c:f>
              <c:numCache>
                <c:formatCode>#,##0.00;(#,##0.00);"—"</c:formatCode>
                <c:ptCount val="0"/>
              </c:numCache>
            </c:numRef>
          </c:val>
          <c:smooth val="0"/>
        </c:ser>
        <c:ser>
          <c:idx val="1"/>
          <c:order val="1"/>
          <c:tx>
            <c:v>EMA25 2ATR</c:v>
          </c:tx>
          <c:spPr>
            <a:solidFill xmlns:a="http://schemas.openxmlformats.org/drawingml/2006/main">
              <a:srgbClr val="FC46AB"/>
            </a:solidFill>
            <a:ln xmlns:a="http://schemas.openxmlformats.org/drawingml/2006/main" w="19050">
              <a:solidFill>
                <a:srgbClr val="FC46AB"/>
              </a:solidFill>
              <a:prstDash val="solid"/>
            </a:ln>
          </c:spPr>
          <c:marker>
            <c:symbol val="none"/>
          </c:marker>
          <c:cat>
            <c:strRef>
              <c:f>'_Chart Helpers'!$H$2:$H$13</c:f>
              <c:strCache>
                <c:ptCount val="0"/>
              </c:strCache>
            </c:strRef>
          </c:cat>
          <c:val>
            <c:numRef>
              <c:f>'_Chart Helpers'!$J$2:$J$13</c:f>
              <c:numCache>
                <c:formatCode>#,##0.00;(#,##0.00);"—"</c:formatCode>
                <c:ptCount val="0"/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1038433"/>
        <c:axId val="982302182"/>
      </c:lineChart>
      <c:catAx>
        <c:axId val="571038433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982302182"/>
        <c:crosses val="autoZero"/>
        <c:lblOffset val="100"/>
      </c:catAx>
      <c:valAx>
        <c:axId val="982302182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#,##0.00;(#,##0.00);&quot;—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571038433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2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独立年度收益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1"/>
        <c:ser>
          <c:idx val="0"/>
          <c:order val="0"/>
          <c:tx>
            <c:v>EMA25原退出</c:v>
          </c:tx>
          <c:spPr>
            <a:solidFill xmlns:a="http://schemas.openxmlformats.org/drawingml/2006/main">
              <a:srgbClr val="BDFE30"/>
            </a:solidFill>
          </c:spPr>
          <c:cat>
            <c:strRef>
              <c:f>'_Chart Helpers'!$L$2:$L$4</c:f>
              <c:strCache>
                <c:ptCount val="0"/>
              </c:strCache>
            </c:strRef>
          </c:cat>
          <c:val>
            <c:numRef>
              <c:f>'_Chart Helpers'!$M$2:$M$4</c:f>
              <c:numCache>
                <c:formatCode>0.00%;(0.00%);"—"</c:formatCode>
                <c:ptCount val="0"/>
              </c:numCache>
            </c:numRef>
          </c:val>
        </c:ser>
        <c:ser>
          <c:idx val="1"/>
          <c:order val="1"/>
          <c:tx>
            <c:v>EMA25 2ATR</c:v>
          </c:tx>
          <c:spPr>
            <a:solidFill xmlns:a="http://schemas.openxmlformats.org/drawingml/2006/main">
              <a:srgbClr val="FC46AB"/>
            </a:solidFill>
          </c:spPr>
          <c:cat>
            <c:strRef>
              <c:f>'_Chart Helpers'!$L$2:$L$4</c:f>
              <c:strCache>
                <c:ptCount val="0"/>
              </c:strCache>
            </c:strRef>
          </c:cat>
          <c:val>
            <c:numRef>
              <c:f>'_Chart Helpers'!$N$2:$N$4</c:f>
              <c:numCache>
                <c:formatCode>0.00%;(0.00%);"—"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76762807"/>
        <c:axId val="1313677059"/>
      </c:barChart>
      <c:catAx>
        <c:axId val="376762807"/>
        <c:scaling>
          <c:orientation val="minMax"/>
        </c:scaling>
        <c:delete val="0"/>
        <c:axPos val="b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General" sourceLinked="1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100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313677059"/>
        <c:crosses val="autoZero"/>
        <c:lblOffset val="100"/>
      </c:catAx>
      <c:valAx>
        <c:axId val="1313677059"/>
        <c:scaling>
          <c:orientation val="minMax"/>
        </c:scaling>
        <c:delete val="0"/>
        <c:axPos val="l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.00%;(0.00%);&quot;—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376762807"/>
        <c:crosses val="autoZero"/>
        <c:crossBetween val="between"/>
      </c:valAx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charts/chart3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全区间收益（含浮盈）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bar"/>
        <c:grouping val="clustered"/>
        <c:varyColors val="1"/>
        <c:ser>
          <c:idx val="0"/>
          <c:order val="0"/>
          <c:tx>
            <c:v>全区间收益</c:v>
          </c:tx>
          <c:spPr>
            <a:solidFill xmlns:a="http://schemas.openxmlformats.org/drawingml/2006/main">
              <a:srgbClr val="BDFE30"/>
            </a:solidFill>
          </c:spPr>
          <c:cat>
            <c:strRef>
              <c:f>'_Chart Helpers'!$P$2:$P$5</c:f>
              <c:strCache>
                <c:ptCount val="0"/>
              </c:strCache>
            </c:strRef>
          </c:cat>
          <c:val>
            <c:numRef>
              <c:f>'_Chart Helpers'!$Q$2:$Q$5</c:f>
              <c:numCache>
                <c:formatCode>0.00%;(0.00%);"—"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42910587"/>
        <c:axId val="2009006557"/>
      </c:barChart>
      <c:catAx>
        <c:axId val="1442910587"/>
        <c:scaling>
          <c:orientation val="maxMin"/>
        </c:scaling>
        <c:delete val="0"/>
        <c:axPos val="l"/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.00%;(0.00%);&quot;—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2009006557"/>
        <c:crosses val="autoZero"/>
        <c:lblOffset val="100"/>
      </c:catAx>
      <c:valAx>
        <c:axId val="2009006557"/>
        <c:scaling>
          <c:orientation val="minMax"/>
        </c:scaling>
        <c:delete val="0"/>
        <c:axPos val="b"/>
        <c:majorGridlines>
          <c:spPr>
            <a:ln xmlns:a="http://schemas.openxmlformats.org/drawingml/2006/main">
              <a:solidFill>
                <a:srgbClr val="2E4052"/>
              </a:solidFill>
            </a:ln>
          </c:spPr>
        </c:majorGridlines>
        <c:title>
          <c:overlay val="0"/>
          <c:txPr>
            <a:bodyPr xmlns:a="http://schemas.openxmlformats.org/drawingml/2006/main" anchorCtr="1"/>
            <a:lstStyle xmlns:a="http://schemas.openxmlformats.org/drawingml/2006/main"/>
            <a:p xmlns:a="http://schemas.openxmlformats.org/drawingml/2006/main">
              <a:pPr>
                <a:defRPr b="0">
                  <a:solidFill>
                    <a:srgbClr val="000000"/>
                  </a:solidFill>
                  <a:latin typeface="Arial"/>
                  <a:ea typeface="Arial"/>
                  <a:cs typeface="Arial"/>
                </a:defRPr>
              </a:pPr>
            </a:p>
          </c:txPr>
        </c:title>
        <c:numFmt formatCode="0.00%;(0.00%);&quot;—&quot;" sourceLinked="0"/>
        <c:majorTickMark val="none"/>
        <c:minorTickMark val="none"/>
        <c:tickLblPos val="nextTo"/>
        <c:spPr>
          <a:ln xmlns:a="http://schemas.openxmlformats.org/drawingml/2006/main">
            <a:noFill/>
          </a:ln>
        </c:spPr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 b="1" i="0">
                <a:solidFill>
                  <a:srgbClr val="A7B6C8"/>
                </a:solidFill>
                <a:latin typeface="Arial"/>
                <a:ea typeface="Arial"/>
                <a:cs typeface="Arial"/>
              </a:defRPr>
            </a:pPr>
          </a:p>
        </c:txPr>
        <c:crossAx val="1442910587"/>
        <c:crosses val="max"/>
        <c:crossBetween val="between"/>
      </c:valAx>
      <c:spPr>
        <a:solidFill xmlns:a="http://schemas.openxmlformats.org/drawingml/2006/main">
          <a:srgbClr val="16212C"/>
        </a:solidFill>
      </c:spPr>
    </c:plotArea>
    <c:plotVisOnly val="1"/>
  </c:chart>
  <c:spPr>
    <a:solidFill xmlns:a="http://schemas.openxmlformats.org/drawingml/2006/main">
      <a:srgbClr val="16212C"/>
    </a:solidFill>
  </c:spPr>
</c:chartSpace>
</file>

<file path=xl/drawings/charts/chart4.xml><?xml version="1.0" encoding="utf-8"?>
<c:chartSpace xmlns:c="http://schemas.openxmlformats.org/drawingml/2006/chart">
  <c:lang val="en-US"/>
  <c:roundedCorners val="1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 b="0">
                <a:solidFill>
                  <a:srgbClr val="A7B6C8"/>
                </a:solidFill>
                <a:latin typeface="Arial"/>
                <a:ea typeface="Arial"/>
                <a:cs typeface="Arial"/>
              </a:rPr>
              <a:t>已平仓交易分布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 b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title>
    <c:autoTitleDeleted val="0"/>
    <c:plotArea>
      <c:pieChart>
        <c:ser>
          <c:idx val="0"/>
          <c:order val="0"/>
          <c:tx>
            <c:v>笔数</c:v>
          </c:tx>
          <c:cat>
            <c:strRef>
              <c:f>'_Chart Helpers'!$S$2:$S$5</c:f>
              <c:strCache>
                <c:ptCount val="0"/>
              </c:strCache>
            </c:strRef>
          </c:cat>
          <c:val>
            <c:numRef>
              <c:f>'_Chart Helpers'!$T$2:$T$5</c:f>
              <c:numCache>
                <c:formatCode>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 xmlns:a="http://schemas.openxmlformats.org/drawingml/2006/main">
          <a:srgbClr val="16212C"/>
        </a:solidFill>
      </c:spPr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b="1" i="0">
              <a:solidFill>
                <a:srgbClr val="A7B6C8"/>
              </a:solidFill>
              <a:latin typeface="Arial"/>
              <a:ea typeface="Arial"/>
              <a:cs typeface="Arial"/>
            </a:defRPr>
          </a:pPr>
        </a:p>
      </c:txPr>
    </c:legend>
    <c:plotVisOnly val="1"/>
  </c:chart>
  <c:spPr>
    <a:solidFill xmlns:a="http://schemas.openxmlformats.org/drawingml/2006/main">
      <a:srgbClr val="16212C"/>
    </a:solidFill>
  </c:spPr>
</c:chartSpace>
</file>

<file path=xl/drawings/drawing1.xml><?xml version="1.0" encoding="utf-8"?>
<xdr:wsDr xmlns:xdr="http://schemas.openxmlformats.org/drawingml/2006/spreadsheetDrawing">
  <xdr:twoCellAnchor>
    <xdr:from>
      <xdr:col>1</xdr:col>
      <xdr:colOff>0</xdr:colOff>
      <xdr:row>15</xdr:row>
      <xdr:rowOff>0</xdr:rowOff>
    </xdr:from>
    <xdr:to>
      <xdr:col>9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b9f30f30cc54420a"/>
        </a:graphicData>
      </a:graphic>
    </xdr:graphicFrame>
    <xdr:clientData/>
  </xdr:twoCellAnchor>
  <xdr:twoCellAnchor>
    <xdr:from>
      <xdr:col>9</xdr:col>
      <xdr:colOff>0</xdr:colOff>
      <xdr:row>15</xdr:row>
      <xdr:rowOff>0</xdr:rowOff>
    </xdr:from>
    <xdr:to>
      <xdr:col>17</xdr:col>
      <xdr:colOff>0</xdr:colOff>
      <xdr:row>28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ab7d2dac42a4a81"/>
        </a:graphicData>
      </a:graphic>
    </xdr:graphicFrame>
    <xdr:clientData/>
  </xdr:twoCellAnchor>
  <xdr:twoCellAnchor>
    <xdr:from>
      <xdr:col>1</xdr:col>
      <xdr:colOff>0</xdr:colOff>
      <xdr:row>29</xdr:row>
      <xdr:rowOff>0</xdr:rowOff>
    </xdr:from>
    <xdr:to>
      <xdr:col>9</xdr:col>
      <xdr:colOff>0</xdr:colOff>
      <xdr:row>41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112475026fa45c1"/>
        </a:graphicData>
      </a:graphic>
    </xdr:graphicFrame>
    <xdr:clientData/>
  </xdr:twoCellAnchor>
  <xdr:twoCellAnchor>
    <xdr:from>
      <xdr:col>9</xdr:col>
      <xdr:colOff>0</xdr:colOff>
      <xdr:row>29</xdr:row>
      <xdr:rowOff>0</xdr:rowOff>
    </xdr:from>
    <xdr:to>
      <xdr:col>17</xdr:col>
      <xdr:colOff>0</xdr:colOff>
      <xdr:row>41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bb60b5d471544b3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llBacktests" displayName="AllBacktests" ref="B40:P79" headerRowCount="1" totalsRowCount="0" totalsRowShown="0">
  <x:tableColumns count="15">
    <x:tableColumn id="1" name="方案"/>
    <x:tableColumn id="2" name="总收益"/>
    <x:tableColumn id="3" name="已平仓收益"/>
    <x:tableColumn id="4" name="浮盈净贡献"/>
    <x:tableColumn id="5" name="收盘回撤"/>
    <x:tableColumn id="6" name="平仓笔数"/>
    <x:tableColumn id="7" name="胜率"/>
    <x:tableColumn id="8" name="利润因子"/>
    <x:tableColumn id="9" name="2024独立"/>
    <x:tableColumn id="10" name="2025独立"/>
    <x:tableColumn id="11" name="2026独立"/>
    <x:tableColumn id="12" name="持仓占比"/>
    <x:tableColumn id="13" name="手续费USDT"/>
    <x:tableColumn id="14" name="期末持仓"/>
    <x:tableColumn id="15" name="说明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MarketQuarters" displayName="MarketQuarters" ref="A6:L17" headerRowCount="1" totalsRowCount="0" totalsRowShown="0">
  <x:autoFilter ref="A6:L17"/>
  <x:tableColumns count="12">
    <x:tableColumn id="1" name="季度"/>
    <x:tableColumn id="2" name="开始UTC"/>
    <x:tableColumn id="3" name="结束UTC"/>
    <x:tableColumn id="4" name="BTC开盘"/>
    <x:tableColumn id="5" name="BTC收盘"/>
    <x:tableColumn id="6" name="BTC涨跌幅"/>
    <x:tableColumn id="7" name="行情标注"/>
    <x:tableColumn id="8" name="原EMA21多空"/>
    <x:tableColumn id="9" name="EMA25原退出"/>
    <x:tableColumn id="10" name="EMA252ATR低于"/>
    <x:tableColumn id="11" name="状态补入原退出"/>
    <x:tableColumn id="12" name="状态补入2ATR低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llTrades" displayName="AllTrades" ref="A6:N425" headerRowCount="1" totalsRowCount="0" totalsRowShown="0">
  <x:autoFilter ref="A6:N425"/>
  <x:tableColumns count="14">
    <x:tableColumn id="1" name="方案"/>
    <x:tableColumn id="2" name="方向"/>
    <x:tableColumn id="3" name="入场UTC"/>
    <x:tableColumn id="4" name="退出UTC"/>
    <x:tableColumn id="5" name="入场价"/>
    <x:tableColumn id="6" name="退出/估值价"/>
    <x:tableColumn id="7" name="持仓天数"/>
    <x:tableColumn id="8" name="净损益USDT"/>
    <x:tableColumn id="9" name="净收益率"/>
    <x:tableColumn id="10" name="峰值毛浮盈"/>
    <x:tableColumn id="11" name="状态"/>
    <x:tableColumn id="12" name="收益标注"/>
    <x:tableColumn id="13" name="退出原因"/>
    <x:tableColumn id="14" name="方案ID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7b658ff701934f6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7da0039e8794f6d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4508d482c7af4e2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e80aff8347a2421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2" width="20" style="27" customWidth="1"/>
    <x:col min="3" max="5" width="11" style="27" customWidth="1"/>
    <x:col min="6" max="17" width="13" style="27" customWidth="1"/>
    <x:col min="18" max="16384" width="8.83203125" style="27" customWidth="0"/>
  </x:cols>
  <x:sheetData>
    <x:row r="2" ht="24" customHeight="1">
      <x:c r="B2" s="39" t="str">
        <x:v>BTC 日线策略回测</x:v>
      </x:c>
      <x:c r="C2" s="39"/>
      <x:c r="D2" s="39"/>
      <x:c r="E2" s="39"/>
      <x:c r="F2" s="39"/>
      <x:c r="G2" s="39"/>
      <x:c r="H2" s="39"/>
      <x:c r="I2" s="39"/>
      <x:c r="J2" s="40" t="str">
        <x:v>回测开始</x:v>
      </x:c>
      <x:c r="K2" s="41"/>
      <x:c r="L2" s="41"/>
      <x:c r="M2" s="42"/>
      <x:c r="N2" s="40" t="str">
        <x:v>完整日线截至</x:v>
      </x:c>
      <x:c r="O2" s="41"/>
      <x:c r="P2" s="41"/>
      <x:c r="Q2" s="42"/>
    </x:row>
    <x:row r="3" ht="24" customHeight="1">
      <x:c r="B3" s="38" t="str">
        <x:v>EMA25/52、2ATR退出与大行情复盘</x:v>
      </x:c>
      <x:c r="C3" s="38"/>
      <x:c r="D3" s="38"/>
      <x:c r="E3" s="38"/>
      <x:c r="F3" s="38"/>
      <x:c r="G3" s="38"/>
      <x:c r="H3" s="38"/>
      <x:c r="I3" s="38"/>
      <x:c r="J3" s="143" t="n">
        <x:f>'Data &amp; Targets'!C9</x:f>
        <x:v>45292</x:v>
      </x:c>
      <x:c r="K3" s="144"/>
      <x:c r="L3" s="144"/>
      <x:c r="M3" s="145"/>
      <x:c r="N3" s="143" t="n">
        <x:f>'Data &amp; Targets'!C10</x:f>
        <x:v>46271</x:v>
      </x:c>
      <x:c r="O3" s="144"/>
      <x:c r="P3" s="144"/>
      <x:c r="Q3" s="145"/>
    </x:row>
    <x:row r="4" ht="20" customHeight="1">
      <x:c r="B4" s="46" t="str">
        <x:v>本地历史模拟，尚未完成 TradingView 原生验证；收益含期末浮盈。</x:v>
      </x:c>
      <x:c r="C4" s="46"/>
      <x:c r="D4" s="46"/>
      <x:c r="E4" s="46"/>
      <x:c r="F4" s="46"/>
      <x:c r="G4" s="46"/>
      <x:c r="H4" s="46"/>
      <x:c r="I4" s="46"/>
      <x:c r="J4" s="46"/>
      <x:c r="K4" s="46"/>
      <x:c r="L4" s="46"/>
      <x:c r="M4" s="46"/>
      <x:c r="N4" s="46"/>
      <x:c r="O4" s="46"/>
      <x:c r="P4" s="46"/>
      <x:c r="Q4" s="46"/>
    </x:row>
    <x:row r="5" ht="20" customHeight="1">
      <x:c r="B5" s="47" t="str">
        <x:v>EMA25原退出收益</x:v>
      </x:c>
      <x:c r="C5" s="48"/>
      <x:c r="D5" s="48"/>
      <x:c r="E5" s="49"/>
      <x:c r="F5" s="47" t="str">
        <x:v>EMA25 2ATR收益</x:v>
      </x:c>
      <x:c r="G5" s="48"/>
      <x:c r="H5" s="48"/>
      <x:c r="I5" s="49"/>
      <x:c r="J5" s="47" t="str">
        <x:v>原退出收盘回撤</x:v>
      </x:c>
      <x:c r="K5" s="48"/>
      <x:c r="L5" s="48"/>
      <x:c r="M5" s="49"/>
      <x:c r="N5" s="47" t="str">
        <x:v>2ATR收盘回撤</x:v>
      </x:c>
      <x:c r="O5" s="48"/>
      <x:c r="P5" s="48"/>
      <x:c r="Q5" s="49"/>
    </x:row>
    <x:row r="6" ht="27" customHeight="1">
      <x:c r="B6" s="146" t="n">
        <x:f>'Data &amp; Targets'!C18</x:f>
        <x:v>0.5194344542083678</x:v>
      </x:c>
      <x:c r="C6" s="51"/>
      <x:c r="D6" s="51"/>
      <x:c r="E6" s="52"/>
      <x:c r="F6" s="146" t="n">
        <x:f>'Data &amp; Targets'!C26</x:f>
        <x:v>0.34532591828928605</x:v>
      </x:c>
      <x:c r="G6" s="51"/>
      <x:c r="H6" s="51"/>
      <x:c r="I6" s="52"/>
      <x:c r="J6" s="146" t="n">
        <x:f>'Data &amp; Targets'!F18</x:f>
        <x:v>0.23535902059947916</x:v>
      </x:c>
      <x:c r="K6" s="54"/>
      <x:c r="L6" s="54"/>
      <x:c r="M6" s="55"/>
      <x:c r="N6" s="146" t="n">
        <x:f>'Data &amp; Targets'!F26</x:f>
        <x:v>0.29310699701186843</x:v>
      </x:c>
      <x:c r="O6" s="54"/>
      <x:c r="P6" s="54"/>
      <x:c r="Q6" s="55"/>
    </x:row>
    <x:row r="7" ht="27" customHeight="1">
      <x:c r="B7" s="50"/>
      <x:c r="C7" s="51"/>
      <x:c r="D7" s="51"/>
      <x:c r="E7" s="52"/>
      <x:c r="F7" s="50"/>
      <x:c r="G7" s="51"/>
      <x:c r="H7" s="51"/>
      <x:c r="I7" s="52"/>
      <x:c r="J7" s="53"/>
      <x:c r="K7" s="54"/>
      <x:c r="L7" s="54"/>
      <x:c r="M7" s="55"/>
      <x:c r="N7" s="53"/>
      <x:c r="O7" s="54"/>
      <x:c r="P7" s="54"/>
      <x:c r="Q7" s="55"/>
    </x:row>
    <x:row r="8" ht="20" customHeight="1">
      <x:c r="B8" s="149" t="str">
        <x:v>固定每笔10,000 USDT</x:v>
      </x:c>
      <x:c r="C8" s="14"/>
      <x:c r="D8" s="15"/>
      <x:c r="E8" s="16"/>
      <x:c r="F8" s="149" t="str">
        <x:v>EMA52−2×ATR14</x:v>
      </x:c>
      <x:c r="G8" s="14"/>
      <x:c r="H8" s="15"/>
      <x:c r="I8" s="16"/>
      <x:c r="J8" s="149" t="str">
        <x:v>日收盘净值口径</x:v>
      </x:c>
      <x:c r="K8" s="14"/>
      <x:c r="L8" s="15"/>
      <x:c r="M8" s="16"/>
      <x:c r="N8" s="149" t="str">
        <x:v>日收盘净值口径</x:v>
      </x:c>
      <x:c r="O8" s="14"/>
      <x:c r="P8" s="15"/>
      <x:c r="Q8" s="16"/>
    </x:row>
    <x:row r="9">
      <x:c r="B9" s="12"/>
      <x:c r="C9" s="12"/>
      <x:c r="D9" s="12"/>
      <x:c r="E9" s="12"/>
      <x:c r="F9" s="12"/>
      <x:c r="G9" s="12"/>
      <x:c r="H9" s="12"/>
      <x:c r="I9" s="12"/>
      <x:c r="J9" s="12"/>
      <x:c r="K9" s="12"/>
      <x:c r="L9" s="12"/>
      <x:c r="M9" s="12"/>
      <x:c r="N9" s="12"/>
      <x:c r="O9" s="12"/>
      <x:c r="P9" s="12"/>
      <x:c r="Q9" s="12"/>
    </x:row>
    <x:row r="10" ht="20" customHeight="1">
      <x:c r="B10" s="47" t="str">
        <x:v>BTC买入持有收益</x:v>
      </x:c>
      <x:c r="C10" s="48"/>
      <x:c r="D10" s="48"/>
      <x:c r="E10" s="49"/>
      <x:c r="F10" s="47" t="str">
        <x:v>大涨季度数量</x:v>
      </x:c>
      <x:c r="G10" s="48"/>
      <x:c r="H10" s="48"/>
      <x:c r="I10" s="49"/>
      <x:c r="J10" s="47" t="str">
        <x:v>EMA25大收益交易</x:v>
      </x:c>
      <x:c r="K10" s="48"/>
      <x:c r="L10" s="48"/>
      <x:c r="M10" s="49"/>
      <x:c r="N10" s="47" t="str">
        <x:v>EMA25已平仓笔数</x:v>
      </x:c>
      <x:c r="O10" s="48"/>
      <x:c r="P10" s="48"/>
      <x:c r="Q10" s="49"/>
    </x:row>
    <x:row r="11" ht="27" customHeight="1">
      <x:c r="B11" s="146" t="n">
        <x:f>0.8990716117225646</x:f>
        <x:v>0.8990716117225646</x:v>
      </x:c>
      <x:c r="C11" s="79"/>
      <x:c r="D11" s="79"/>
      <x:c r="E11" s="80"/>
      <x:c r="F11" s="147" t="n">
        <x:f>COUNTIFS('大行情复盘'!F7:F17,"&gt;="&amp;'Data &amp; Targets'!C30)</x:f>
        <x:v>4</x:v>
      </x:c>
      <x:c r="G11" s="82"/>
      <x:c r="H11" s="82"/>
      <x:c r="I11" s="83"/>
      <x:c r="J11" s="147" t="n">
        <x:f>'_Chart Helpers'!T2</x:f>
        <x:v>1</x:v>
      </x:c>
      <x:c r="K11" s="54"/>
      <x:c r="L11" s="54"/>
      <x:c r="M11" s="55"/>
      <x:c r="N11" s="147" t="n">
        <x:f>'Data &amp; Targets'!G18</x:f>
        <x:v>15</x:v>
      </x:c>
      <x:c r="O11" s="76"/>
      <x:c r="P11" s="76"/>
      <x:c r="Q11" s="77"/>
    </x:row>
    <x:row r="12" ht="27" customHeight="1">
      <x:c r="B12" s="78"/>
      <x:c r="C12" s="79"/>
      <x:c r="D12" s="79"/>
      <x:c r="E12" s="80"/>
      <x:c r="F12" s="81"/>
      <x:c r="G12" s="82"/>
      <x:c r="H12" s="82"/>
      <x:c r="I12" s="83"/>
      <x:c r="J12" s="53"/>
      <x:c r="K12" s="54"/>
      <x:c r="L12" s="54"/>
      <x:c r="M12" s="55"/>
      <x:c r="N12" s="75"/>
      <x:c r="O12" s="76"/>
      <x:c r="P12" s="76"/>
      <x:c r="Q12" s="77"/>
    </x:row>
    <x:row r="13" ht="20" customHeight="1">
      <x:c r="B13" s="149" t="str">
        <x:v>只扣已付开仓费</x:v>
      </x:c>
      <x:c r="C13" s="14"/>
      <x:c r="D13" s="15"/>
      <x:c r="E13" s="16"/>
      <x:c r="F13" s="149" t="str">
        <x:v>季度涨幅≥20%</x:v>
      </x:c>
      <x:c r="G13" s="14"/>
      <x:c r="H13" s="15"/>
      <x:c r="I13" s="16"/>
      <x:c r="J13" s="149" t="str">
        <x:v>单笔已实现净收益≥20%</x:v>
      </x:c>
      <x:c r="K13" s="14"/>
      <x:c r="L13" s="15"/>
      <x:c r="M13" s="16"/>
      <x:c r="N13" s="149" t="str">
        <x:v>不含期末未平仓</x:v>
      </x:c>
      <x:c r="O13" s="14"/>
      <x:c r="P13" s="15"/>
      <x:c r="Q13" s="16"/>
    </x:row>
    <x:row r="14">
      <x:c r="B14" s="12"/>
      <x:c r="C14" s="12"/>
      <x:c r="D14" s="12"/>
      <x:c r="E14" s="12"/>
      <x:c r="F14" s="12"/>
      <x:c r="G14" s="12"/>
      <x:c r="H14" s="12"/>
      <x:c r="I14" s="12"/>
      <x:c r="J14" s="12"/>
      <x:c r="K14" s="12"/>
      <x:c r="L14" s="12"/>
      <x:c r="M14" s="12"/>
      <x:c r="N14" s="12"/>
      <x:c r="O14" s="12"/>
      <x:c r="P14" s="12"/>
      <x:c r="Q14" s="12"/>
    </x:row>
    <x:row r="15" ht="22" customHeight="1">
      <x:c r="B15" s="56" t="str">
        <x:v>原退出与2ATR净值（季度末采样）</x:v>
      </x:c>
      <x:c r="C15" s="56"/>
      <x:c r="D15" s="56"/>
      <x:c r="E15" s="56"/>
      <x:c r="F15" s="56"/>
      <x:c r="G15" s="56"/>
      <x:c r="H15" s="56"/>
      <x:c r="I15" s="56"/>
      <x:c r="J15" s="56" t="str">
        <x:v>独立年度收益（不可相加）</x:v>
      </x:c>
      <x:c r="K15" s="56"/>
      <x:c r="L15" s="56"/>
      <x:c r="M15" s="56"/>
      <x:c r="N15" s="56"/>
      <x:c r="O15" s="56"/>
      <x:c r="P15" s="56"/>
      <x:c r="Q15" s="56"/>
    </x:row>
    <x:row r="16">
      <x:c r="B16" s="12"/>
      <x:c r="C16" s="12"/>
      <x:c r="D16" s="12"/>
      <x:c r="E16" s="12"/>
      <x:c r="F16" s="12"/>
      <x:c r="G16" s="12"/>
      <x:c r="H16" s="12"/>
      <x:c r="I16" s="12"/>
      <x:c r="J16" s="12"/>
      <x:c r="K16" s="12"/>
      <x:c r="L16" s="12"/>
      <x:c r="M16" s="12"/>
      <x:c r="N16" s="12"/>
      <x:c r="O16" s="12"/>
      <x:c r="P16" s="12"/>
      <x:c r="Q16" s="12"/>
    </x:row>
    <x:row r="17">
      <x:c r="B17" s="12"/>
      <x:c r="C17" s="12"/>
      <x:c r="D17" s="12"/>
      <x:c r="E17" s="12"/>
      <x:c r="F17" s="12"/>
      <x:c r="G17" s="12"/>
      <x:c r="H17" s="12"/>
      <x:c r="I17" s="12"/>
      <x:c r="J17" s="12"/>
      <x:c r="K17" s="12"/>
      <x:c r="L17" s="12"/>
      <x:c r="M17" s="12"/>
      <x:c r="N17" s="12"/>
      <x:c r="O17" s="12"/>
      <x:c r="P17" s="12"/>
      <x:c r="Q17" s="12"/>
    </x:row>
    <x:row r="18">
      <x:c r="B18" s="12"/>
      <x:c r="C18" s="12"/>
      <x:c r="D18" s="12"/>
      <x:c r="E18" s="12"/>
      <x:c r="F18" s="12"/>
      <x:c r="G18" s="12"/>
      <x:c r="H18" s="12"/>
      <x:c r="I18" s="12"/>
      <x:c r="J18" s="12"/>
      <x:c r="K18" s="12"/>
      <x:c r="L18" s="12"/>
      <x:c r="M18" s="12"/>
      <x:c r="N18" s="12"/>
      <x:c r="O18" s="12"/>
      <x:c r="P18" s="12"/>
      <x:c r="Q18" s="12"/>
    </x:row>
    <x:row r="19">
      <x:c r="B19" s="12"/>
      <x:c r="C19" s="12"/>
      <x:c r="D19" s="12"/>
      <x:c r="E19" s="12"/>
      <x:c r="F19" s="12"/>
      <x:c r="G19" s="12"/>
      <x:c r="H19" s="12"/>
      <x:c r="I19" s="12"/>
      <x:c r="J19" s="12"/>
      <x:c r="K19" s="12"/>
      <x:c r="L19" s="12"/>
      <x:c r="M19" s="12"/>
      <x:c r="N19" s="12"/>
      <x:c r="O19" s="12"/>
      <x:c r="P19" s="12"/>
      <x:c r="Q19" s="12"/>
    </x:row>
    <x:row r="20">
      <x:c r="B20" s="12"/>
      <x:c r="C20" s="12"/>
      <x:c r="D20" s="12"/>
      <x:c r="E20" s="12"/>
      <x:c r="F20" s="12"/>
      <x:c r="G20" s="12"/>
      <x:c r="H20" s="12"/>
      <x:c r="I20" s="12"/>
      <x:c r="J20" s="12"/>
      <x:c r="K20" s="12"/>
      <x:c r="L20" s="12"/>
      <x:c r="M20" s="12"/>
      <x:c r="N20" s="12"/>
      <x:c r="O20" s="12"/>
      <x:c r="P20" s="12"/>
      <x:c r="Q20" s="12"/>
    </x:row>
    <x:row r="21">
      <x:c r="B21" s="12"/>
      <x:c r="C21" s="12"/>
      <x:c r="D21" s="12"/>
      <x:c r="E21" s="12"/>
      <x:c r="F21" s="12"/>
      <x:c r="G21" s="12"/>
      <x:c r="H21" s="12"/>
      <x:c r="I21" s="12"/>
      <x:c r="J21" s="12"/>
      <x:c r="K21" s="12"/>
      <x:c r="L21" s="12"/>
      <x:c r="M21" s="12"/>
      <x:c r="N21" s="12"/>
      <x:c r="O21" s="12"/>
      <x:c r="P21" s="12"/>
      <x:c r="Q21" s="12"/>
    </x:row>
    <x:row r="22">
      <x:c r="B22" s="12"/>
      <x:c r="C22" s="12"/>
      <x:c r="D22" s="12"/>
      <x:c r="E22" s="12"/>
      <x:c r="F22" s="12"/>
      <x:c r="G22" s="12"/>
      <x:c r="H22" s="12"/>
      <x:c r="I22" s="12"/>
      <x:c r="J22" s="12"/>
      <x:c r="K22" s="12"/>
      <x:c r="L22" s="12"/>
      <x:c r="M22" s="12"/>
      <x:c r="N22" s="12"/>
      <x:c r="O22" s="12"/>
      <x:c r="P22" s="12"/>
      <x:c r="Q22" s="12"/>
    </x:row>
    <x:row r="23">
      <x:c r="B23" s="12"/>
      <x:c r="C23" s="12"/>
      <x:c r="D23" s="12"/>
      <x:c r="E23" s="12"/>
      <x:c r="F23" s="12"/>
      <x:c r="G23" s="12"/>
      <x:c r="H23" s="12"/>
      <x:c r="I23" s="12"/>
      <x:c r="J23" s="12"/>
      <x:c r="K23" s="12"/>
      <x:c r="L23" s="12"/>
      <x:c r="M23" s="12"/>
      <x:c r="N23" s="12"/>
      <x:c r="O23" s="12"/>
      <x:c r="P23" s="12"/>
      <x:c r="Q23" s="12"/>
    </x:row>
    <x:row r="24">
      <x:c r="B24" s="12"/>
      <x:c r="C24" s="12"/>
      <x:c r="D24" s="12"/>
      <x:c r="E24" s="12"/>
      <x:c r="F24" s="12"/>
      <x:c r="G24" s="12"/>
      <x:c r="H24" s="12"/>
      <x:c r="I24" s="12"/>
      <x:c r="J24" s="12"/>
      <x:c r="K24" s="12"/>
      <x:c r="L24" s="12"/>
      <x:c r="M24" s="12"/>
      <x:c r="N24" s="12"/>
      <x:c r="O24" s="12"/>
      <x:c r="P24" s="12"/>
      <x:c r="Q24" s="12"/>
    </x:row>
    <x:row r="25">
      <x:c r="B25" s="12"/>
      <x:c r="C25" s="12"/>
      <x:c r="D25" s="12"/>
      <x:c r="E25" s="12"/>
      <x:c r="F25" s="12"/>
      <x:c r="G25" s="12"/>
      <x:c r="H25" s="12"/>
      <x:c r="I25" s="12"/>
      <x:c r="J25" s="12"/>
      <x:c r="K25" s="12"/>
      <x:c r="L25" s="12"/>
      <x:c r="M25" s="12"/>
      <x:c r="N25" s="12"/>
      <x:c r="O25" s="12"/>
      <x:c r="P25" s="12"/>
      <x:c r="Q25" s="12"/>
    </x:row>
    <x:row r="26">
      <x:c r="B26" s="12"/>
      <x:c r="C26" s="12"/>
      <x:c r="D26" s="12"/>
      <x:c r="E26" s="12"/>
      <x:c r="F26" s="12"/>
      <x:c r="G26" s="12"/>
      <x:c r="H26" s="12"/>
      <x:c r="I26" s="12"/>
      <x:c r="J26" s="12"/>
      <x:c r="K26" s="12"/>
      <x:c r="L26" s="12"/>
      <x:c r="M26" s="12"/>
      <x:c r="N26" s="12"/>
      <x:c r="O26" s="12"/>
      <x:c r="P26" s="12"/>
      <x:c r="Q26" s="12"/>
    </x:row>
    <x:row r="27">
      <x:c r="B27" s="12"/>
      <x:c r="C27" s="12"/>
      <x:c r="D27" s="12"/>
      <x:c r="E27" s="12"/>
      <x:c r="F27" s="12"/>
      <x:c r="G27" s="12"/>
      <x:c r="H27" s="12"/>
      <x:c r="I27" s="12"/>
      <x:c r="J27" s="12"/>
      <x:c r="K27" s="12"/>
      <x:c r="L27" s="12"/>
      <x:c r="M27" s="12"/>
      <x:c r="N27" s="12"/>
      <x:c r="O27" s="12"/>
      <x:c r="P27" s="12"/>
      <x:c r="Q27" s="12"/>
    </x:row>
    <x:row r="28">
      <x:c r="B28" s="12"/>
      <x:c r="C28" s="12"/>
      <x:c r="D28" s="12"/>
      <x:c r="E28" s="12"/>
      <x:c r="F28" s="12"/>
      <x:c r="G28" s="12"/>
      <x:c r="H28" s="12"/>
      <x:c r="I28" s="12"/>
      <x:c r="J28" s="12"/>
      <x:c r="K28" s="12"/>
      <x:c r="L28" s="12"/>
      <x:c r="M28" s="12"/>
      <x:c r="N28" s="12"/>
      <x:c r="O28" s="12"/>
      <x:c r="P28" s="12"/>
      <x:c r="Q28" s="12"/>
    </x:row>
    <x:row r="29" ht="22" customHeight="1">
      <x:c r="B29" s="56" t="str">
        <x:v>主要方案全区间收益</x:v>
      </x:c>
      <x:c r="C29" s="56"/>
      <x:c r="D29" s="56"/>
      <x:c r="E29" s="56"/>
      <x:c r="F29" s="56"/>
      <x:c r="G29" s="56"/>
      <x:c r="H29" s="56"/>
      <x:c r="I29" s="56"/>
      <x:c r="J29" s="56" t="str">
        <x:v>EMA25原退出的已平仓交易</x:v>
      </x:c>
      <x:c r="K29" s="56"/>
      <x:c r="L29" s="56"/>
      <x:c r="M29" s="56"/>
      <x:c r="N29" s="56"/>
      <x:c r="O29" s="56"/>
      <x:c r="P29" s="56"/>
      <x:c r="Q29" s="56"/>
    </x:row>
    <x:row r="30">
      <x:c r="B30" s="12"/>
      <x:c r="C30" s="12"/>
      <x:c r="D30" s="12"/>
      <x:c r="E30" s="12"/>
      <x:c r="F30" s="12"/>
      <x:c r="G30" s="12"/>
      <x:c r="H30" s="12"/>
      <x:c r="I30" s="12"/>
      <x:c r="J30" s="12"/>
      <x:c r="K30" s="12"/>
      <x:c r="L30" s="12"/>
      <x:c r="M30" s="12"/>
      <x:c r="N30" s="12"/>
      <x:c r="O30" s="12"/>
      <x:c r="P30" s="12"/>
      <x:c r="Q30" s="12"/>
    </x:row>
    <x:row r="31">
      <x:c r="B31" s="12"/>
      <x:c r="C31" s="12"/>
      <x:c r="D31" s="12"/>
      <x:c r="E31" s="12"/>
      <x:c r="F31" s="12"/>
      <x:c r="G31" s="12"/>
      <x:c r="H31" s="12"/>
      <x:c r="I31" s="12"/>
      <x:c r="J31" s="12"/>
      <x:c r="K31" s="12"/>
      <x:c r="L31" s="12"/>
      <x:c r="M31" s="12"/>
      <x:c r="N31" s="12"/>
      <x:c r="O31" s="12"/>
      <x:c r="P31" s="12"/>
      <x:c r="Q31" s="12"/>
    </x:row>
    <x:row r="32">
      <x:c r="B32" s="12"/>
      <x:c r="C32" s="12"/>
      <x:c r="D32" s="12"/>
      <x:c r="E32" s="12"/>
      <x:c r="F32" s="12"/>
      <x:c r="G32" s="12"/>
      <x:c r="H32" s="12"/>
      <x:c r="I32" s="12"/>
      <x:c r="J32" s="12"/>
      <x:c r="K32" s="12"/>
      <x:c r="L32" s="12"/>
      <x:c r="M32" s="12"/>
      <x:c r="N32" s="12"/>
      <x:c r="O32" s="12"/>
      <x:c r="P32" s="12"/>
      <x:c r="Q32" s="12"/>
    </x:row>
    <x:row r="33">
      <x:c r="B33" s="12"/>
      <x:c r="C33" s="12"/>
      <x:c r="D33" s="12"/>
      <x:c r="E33" s="12"/>
      <x:c r="F33" s="12"/>
      <x:c r="G33" s="12"/>
      <x:c r="H33" s="12"/>
      <x:c r="I33" s="12"/>
      <x:c r="J33" s="12"/>
      <x:c r="K33" s="12"/>
      <x:c r="L33" s="12"/>
      <x:c r="M33" s="12"/>
      <x:c r="N33" s="12"/>
      <x:c r="O33" s="12"/>
      <x:c r="P33" s="12"/>
      <x:c r="Q33" s="12"/>
    </x:row>
    <x:row r="34">
      <x:c r="B34" s="12"/>
      <x:c r="C34" s="12"/>
      <x:c r="D34" s="12"/>
      <x:c r="E34" s="12"/>
      <x:c r="F34" s="12"/>
      <x:c r="G34" s="12"/>
      <x:c r="H34" s="12"/>
      <x:c r="I34" s="12"/>
      <x:c r="J34" s="12"/>
      <x:c r="K34" s="12"/>
      <x:c r="L34" s="12"/>
      <x:c r="M34" s="12"/>
      <x:c r="N34" s="12"/>
      <x:c r="O34" s="12"/>
      <x:c r="P34" s="12"/>
      <x:c r="Q34" s="12"/>
    </x:row>
    <x:row r="35">
      <x:c r="B35" s="12"/>
      <x:c r="C35" s="12"/>
      <x:c r="D35" s="12"/>
      <x:c r="E35" s="12"/>
      <x:c r="F35" s="12"/>
      <x:c r="G35" s="12"/>
      <x:c r="H35" s="12"/>
      <x:c r="I35" s="12"/>
      <x:c r="J35" s="12"/>
      <x:c r="K35" s="12"/>
      <x:c r="L35" s="12"/>
      <x:c r="M35" s="12"/>
      <x:c r="N35" s="12"/>
      <x:c r="O35" s="12"/>
      <x:c r="P35" s="12"/>
      <x:c r="Q35" s="12"/>
    </x:row>
    <x:row r="36">
      <x:c r="B36" s="12"/>
      <x:c r="C36" s="12"/>
      <x:c r="D36" s="12"/>
      <x:c r="E36" s="12"/>
      <x:c r="F36" s="12"/>
      <x:c r="G36" s="12"/>
      <x:c r="H36" s="12"/>
      <x:c r="I36" s="12"/>
      <x:c r="J36" s="12"/>
      <x:c r="K36" s="12"/>
      <x:c r="L36" s="12"/>
      <x:c r="M36" s="12"/>
      <x:c r="N36" s="12"/>
      <x:c r="O36" s="12"/>
      <x:c r="P36" s="12"/>
      <x:c r="Q36" s="12"/>
    </x:row>
    <x:row r="37">
      <x:c r="B37" s="12"/>
      <x:c r="C37" s="12"/>
      <x:c r="D37" s="12"/>
      <x:c r="E37" s="12"/>
      <x:c r="F37" s="12"/>
      <x:c r="G37" s="12"/>
      <x:c r="H37" s="12"/>
      <x:c r="I37" s="12"/>
      <x:c r="J37" s="12"/>
      <x:c r="K37" s="12"/>
      <x:c r="L37" s="12"/>
      <x:c r="M37" s="12"/>
      <x:c r="N37" s="12"/>
      <x:c r="O37" s="12"/>
      <x:c r="P37" s="12"/>
      <x:c r="Q37" s="12"/>
    </x:row>
    <x:row r="38">
      <x:c r="B38" s="12"/>
      <x:c r="C38" s="12"/>
      <x:c r="D38" s="12"/>
      <x:c r="E38" s="12"/>
      <x:c r="F38" s="12"/>
      <x:c r="G38" s="12"/>
      <x:c r="H38" s="12"/>
      <x:c r="I38" s="12"/>
      <x:c r="J38" s="12"/>
      <x:c r="K38" s="12"/>
      <x:c r="L38" s="12"/>
      <x:c r="M38" s="12"/>
      <x:c r="N38" s="12"/>
      <x:c r="O38" s="12"/>
      <x:c r="P38" s="12"/>
      <x:c r="Q38" s="12"/>
    </x:row>
    <x:row r="39">
      <x:c r="B39" s="12"/>
      <x:c r="C39" s="12"/>
      <x:c r="D39" s="12"/>
      <x:c r="E39" s="12"/>
      <x:c r="F39" s="12"/>
      <x:c r="G39" s="12"/>
      <x:c r="H39" s="12"/>
      <x:c r="I39" s="12"/>
      <x:c r="J39" s="12"/>
      <x:c r="K39" s="12"/>
      <x:c r="L39" s="12"/>
      <x:c r="M39" s="12"/>
      <x:c r="N39" s="12"/>
      <x:c r="O39" s="12"/>
      <x:c r="P39" s="12"/>
      <x:c r="Q39" s="12"/>
    </x:row>
    <x:row r="40">
      <x:c r="B40" s="12"/>
      <x:c r="C40" s="12"/>
      <x:c r="D40" s="12"/>
      <x:c r="E40" s="12"/>
      <x:c r="F40" s="12"/>
      <x:c r="G40" s="12"/>
      <x:c r="H40" s="12"/>
      <x:c r="I40" s="12"/>
      <x:c r="J40" s="12"/>
      <x:c r="K40" s="12"/>
      <x:c r="L40" s="12"/>
      <x:c r="M40" s="12"/>
      <x:c r="N40" s="12"/>
      <x:c r="O40" s="12"/>
      <x:c r="P40" s="12"/>
      <x:c r="Q40" s="12"/>
    </x:row>
    <x:row r="41">
      <x:c r="B41" s="12"/>
      <x:c r="C41" s="12"/>
      <x:c r="D41" s="12"/>
      <x:c r="E41" s="12"/>
      <x:c r="F41" s="12"/>
      <x:c r="G41" s="12"/>
      <x:c r="H41" s="12"/>
      <x:c r="I41" s="12"/>
      <x:c r="J41" s="12"/>
      <x:c r="K41" s="12"/>
      <x:c r="L41" s="12"/>
      <x:c r="M41" s="12"/>
      <x:c r="N41" s="12"/>
      <x:c r="O41" s="12"/>
      <x:c r="P41" s="12"/>
      <x:c r="Q41" s="12"/>
    </x:row>
    <x:row r="42">
      <x:c r="B42" s="12"/>
      <x:c r="C42" s="12"/>
      <x:c r="D42" s="12"/>
      <x:c r="E42" s="12"/>
      <x:c r="F42" s="12"/>
      <x:c r="G42" s="12"/>
      <x:c r="H42" s="12"/>
      <x:c r="I42" s="12"/>
      <x:c r="J42" s="12"/>
      <x:c r="K42" s="12"/>
      <x:c r="L42" s="12"/>
      <x:c r="M42" s="12"/>
      <x:c r="N42" s="12"/>
      <x:c r="O42" s="12"/>
      <x:c r="P42" s="12"/>
      <x:c r="Q42" s="12"/>
    </x:row>
    <x:row r="43" ht="22" customHeight="1">
      <x:c r="B43" s="56" t="str">
        <x:v>EMA25原退出与2ATR对照</x:v>
      </x:c>
      <x:c r="C43" s="56"/>
      <x:c r="D43" s="56"/>
      <x:c r="E43" s="56"/>
      <x:c r="F43" s="56"/>
      <x:c r="G43" s="56"/>
      <x:c r="H43" s="56"/>
      <x:c r="I43" s="56"/>
      <x:c r="J43" s="56"/>
      <x:c r="K43" s="56"/>
      <x:c r="L43" s="56"/>
      <x:c r="M43" s="56"/>
      <x:c r="N43" s="56"/>
      <x:c r="O43" s="56"/>
      <x:c r="P43" s="56"/>
      <x:c r="Q43" s="56"/>
    </x:row>
    <x:row r="44" ht="26" customHeight="1">
      <x:c r="B44" s="17" t="str">
        <x:v>指标</x:v>
      </x:c>
      <x:c r="C44" s="17" t="str">
        <x:v>方向</x:v>
      </x:c>
      <x:c r="D44" s="17" t="str">
        <x:v>原退出</x:v>
      </x:c>
      <x:c r="E44" s="17" t="str">
        <x:v>2ATR</x:v>
      </x:c>
      <x:c r="F44" s="17" t="str">
        <x:v>差额</x:v>
      </x:c>
      <x:c r="G44" s="17" t="str">
        <x:v>差额口径</x:v>
      </x:c>
      <x:c r="H44" s="17" t="str">
        <x:v>结论</x:v>
      </x:c>
      <x:c r="I44" s="12"/>
      <x:c r="J44" s="12"/>
      <x:c r="K44" s="12"/>
      <x:c r="L44" s="12"/>
      <x:c r="M44" s="12"/>
      <x:c r="N44" s="12"/>
      <x:c r="O44" s="12"/>
      <x:c r="P44" s="12"/>
      <x:c r="Q44" s="12"/>
    </x:row>
    <x:row r="45">
      <x:c r="B45" s="18" t="str">
        <x:f>'_Chart Helpers'!A2</x:f>
        <x:v>总收益</x:v>
      </x:c>
      <x:c r="C45" s="19" t="str">
        <x:f>'_Chart Helpers'!E2</x:f>
        <x:v>越高越好</x:v>
      </x:c>
      <x:c r="D45" s="150" t="n">
        <x:f>'_Chart Helpers'!B2</x:f>
        <x:v>0.5194344542083678</x:v>
      </x:c>
      <x:c r="E45" s="150" t="n">
        <x:f>'_Chart Helpers'!C2</x:f>
        <x:v>0.34532591828928605</x:v>
      </x:c>
      <x:c r="F45" s="150" t="n">
        <x:f t="shared" ref="F45:F52" si="0">'_Chart Helpers'!D2</x:f>
        <x:v>-0.1741085359190817</x:v>
      </x:c>
      <x:c r="G45" s="21" t="str">
        <x:f t="shared" ref="G45:G52" si="1">IFERROR(D45/E45-1,"")</x:f>
        <x:v>百分点</x:v>
      </x:c>
      <x:c r="H45" s="153" t="str">
        <x:f>'_Chart Helpers'!F2</x:f>
        <x:v>原退出较好</x:v>
      </x:c>
      <x:c r="I45" s="12"/>
      <x:c r="J45" s="57" t="str">
        <x:v>2ATR退出更宽，减少交易，但本区间收益下降、回撤增加。大行情页对照季度行情与策略净值贡献。</x:v>
      </x:c>
      <x:c r="K45" s="58"/>
      <x:c r="L45" s="58"/>
      <x:c r="M45" s="58"/>
      <x:c r="N45" s="58"/>
      <x:c r="O45" s="58"/>
      <x:c r="P45" s="58"/>
      <x:c r="Q45" s="59"/>
    </x:row>
    <x:row r="46">
      <x:c r="B46" s="18" t="str">
        <x:f>'_Chart Helpers'!A3</x:f>
        <x:v>已平仓收益</x:v>
      </x:c>
      <x:c r="C46" s="19" t="str">
        <x:f>'_Chart Helpers'!E3</x:f>
        <x:v>越高越好</x:v>
      </x:c>
      <x:c r="D46" s="150" t="n">
        <x:f>'_Chart Helpers'!B3</x:f>
        <x:v>0.27544447945006556</x:v>
      </x:c>
      <x:c r="E46" s="150" t="n">
        <x:f>'_Chart Helpers'!C3</x:f>
        <x:v>0.09829768497328323</x:v>
      </x:c>
      <x:c r="F46" s="150" t="n">
        <x:f t="shared" si="0">'_Chart Helpers'!D3</x:f>
        <x:v>-0.17714679447678233</x:v>
      </x:c>
      <x:c r="G46" s="21" t="str">
        <x:f t="shared" si="1"/>
        <x:v>百分点</x:v>
      </x:c>
      <x:c r="H46" s="153" t="str">
        <x:f>'_Chart Helpers'!F3</x:f>
        <x:v>原退出较好</x:v>
      </x:c>
      <x:c r="I46" s="12"/>
      <x:c r="J46" s="60"/>
      <x:c r="K46" s="61"/>
      <x:c r="L46" s="61"/>
      <x:c r="M46" s="61"/>
      <x:c r="N46" s="61"/>
      <x:c r="O46" s="61"/>
      <x:c r="P46" s="61"/>
      <x:c r="Q46" s="62"/>
    </x:row>
    <x:row r="47">
      <x:c r="B47" s="18" t="str">
        <x:f>'_Chart Helpers'!A4</x:f>
        <x:v>收盘回撤</x:v>
      </x:c>
      <x:c r="C47" s="19" t="str">
        <x:f>'_Chart Helpers'!E4</x:f>
        <x:v>越低越好</x:v>
      </x:c>
      <x:c r="D47" s="150" t="n">
        <x:f>'_Chart Helpers'!B4</x:f>
        <x:v>0.23535902059947916</x:v>
      </x:c>
      <x:c r="E47" s="150" t="n">
        <x:f>'_Chart Helpers'!C4</x:f>
        <x:v>0.29310699701186843</x:v>
      </x:c>
      <x:c r="F47" s="150" t="n">
        <x:f t="shared" si="0">'_Chart Helpers'!D4</x:f>
        <x:v>0.05774797641238927</x:v>
      </x:c>
      <x:c r="G47" s="21" t="str">
        <x:f t="shared" si="1"/>
        <x:v>百分点</x:v>
      </x:c>
      <x:c r="H47" s="153" t="str">
        <x:f>'_Chart Helpers'!F4</x:f>
        <x:v>原退出较好</x:v>
      </x:c>
      <x:c r="I47" s="12"/>
      <x:c r="J47" s="60"/>
      <x:c r="K47" s="61"/>
      <x:c r="L47" s="61"/>
      <x:c r="M47" s="61"/>
      <x:c r="N47" s="61"/>
      <x:c r="O47" s="61"/>
      <x:c r="P47" s="61"/>
      <x:c r="Q47" s="62"/>
    </x:row>
    <x:row r="48">
      <x:c r="B48" s="18" t="str">
        <x:f>'_Chart Helpers'!A5</x:f>
        <x:v>已平仓笔数</x:v>
      </x:c>
      <x:c r="C48" s="19" t="str">
        <x:f>'_Chart Helpers'!E5</x:f>
        <x:v>仅描述</x:v>
      </x:c>
      <x:c r="D48" s="151" t="n">
        <x:f>'_Chart Helpers'!B5</x:f>
        <x:v>15</x:v>
      </x:c>
      <x:c r="E48" s="151" t="n">
        <x:f>'_Chart Helpers'!C5</x:f>
        <x:v>5</x:v>
      </x:c>
      <x:c r="F48" s="151" t="n">
        <x:f t="shared" si="0">'_Chart Helpers'!D5</x:f>
        <x:v>-10</x:v>
      </x:c>
      <x:c r="G48" s="21" t="str">
        <x:f t="shared" si="1"/>
        <x:v>数值</x:v>
      </x:c>
      <x:c r="H48" s="153" t="str">
        <x:f>'_Chart Helpers'!F5</x:f>
        <x:v>仅描述</x:v>
      </x:c>
      <x:c r="I48" s="12"/>
      <x:c r="J48" s="63"/>
      <x:c r="K48" s="64"/>
      <x:c r="L48" s="64"/>
      <x:c r="M48" s="64"/>
      <x:c r="N48" s="64"/>
      <x:c r="O48" s="64"/>
      <x:c r="P48" s="64"/>
      <x:c r="Q48" s="65"/>
    </x:row>
    <x:row r="49">
      <x:c r="B49" s="18" t="str">
        <x:f>'_Chart Helpers'!A6</x:f>
        <x:v>胜率</x:v>
      </x:c>
      <x:c r="C49" s="19" t="str">
        <x:f>'_Chart Helpers'!E6</x:f>
        <x:v>越高越好</x:v>
      </x:c>
      <x:c r="D49" s="150" t="n">
        <x:f>'_Chart Helpers'!B6</x:f>
        <x:v>0.33333333333333326</x:v>
      </x:c>
      <x:c r="E49" s="150" t="n">
        <x:f>'_Chart Helpers'!C6</x:f>
        <x:v>0.2</x:v>
      </x:c>
      <x:c r="F49" s="150" t="n">
        <x:f t="shared" si="0">'_Chart Helpers'!D6</x:f>
        <x:v>-0.13333333333333325</x:v>
      </x:c>
      <x:c r="G49" s="21" t="str">
        <x:f t="shared" si="1"/>
        <x:v>百分点</x:v>
      </x:c>
      <x:c r="H49" s="153" t="str">
        <x:f>'_Chart Helpers'!F6</x:f>
        <x:v>原退出较好</x:v>
      </x:c>
      <x:c r="I49" s="12"/>
      <x:c r="J49" s="12"/>
      <x:c r="K49" s="12"/>
      <x:c r="L49" s="12"/>
      <x:c r="M49" s="12"/>
      <x:c r="N49" s="12"/>
      <x:c r="O49" s="12"/>
      <x:c r="P49" s="12"/>
      <x:c r="Q49" s="12"/>
    </x:row>
    <x:row r="50">
      <x:c r="B50" s="18" t="str">
        <x:f>'_Chart Helpers'!A7</x:f>
        <x:v>利润因子</x:v>
      </x:c>
      <x:c r="C50" s="19" t="str">
        <x:f>'_Chart Helpers'!E7</x:f>
        <x:v>越高越好</x:v>
      </x:c>
      <x:c r="D50" s="152" t="n">
        <x:f>'_Chart Helpers'!B7</x:f>
        <x:v>1.7962698336062968</x:v>
      </x:c>
      <x:c r="E50" s="152" t="n">
        <x:f>'_Chart Helpers'!C7</x:f>
        <x:v>1.3000342174341744</x:v>
      </x:c>
      <x:c r="F50" s="152" t="n">
        <x:f t="shared" si="0">'_Chart Helpers'!D7</x:f>
        <x:v>-0.4962356161721224</x:v>
      </x:c>
      <x:c r="G50" s="21" t="str">
        <x:f t="shared" si="1"/>
        <x:v>数值</x:v>
      </x:c>
      <x:c r="H50" s="153" t="str">
        <x:f>'_Chart Helpers'!F7</x:f>
        <x:v>原退出较好</x:v>
      </x:c>
      <x:c r="I50" s="12"/>
      <x:c r="J50" s="66" t="str">
        <x:v>季度大行情为事后复盘标签，不是策略实时信号。</x:v>
      </x:c>
      <x:c r="K50" s="67"/>
      <x:c r="L50" s="67"/>
      <x:c r="M50" s="67"/>
      <x:c r="N50" s="67"/>
      <x:c r="O50" s="67"/>
      <x:c r="P50" s="67"/>
      <x:c r="Q50" s="68"/>
    </x:row>
    <x:row r="51">
      <x:c r="B51" s="18" t="str">
        <x:f>'_Chart Helpers'!A8</x:f>
        <x:v>持仓占比</x:v>
      </x:c>
      <x:c r="C51" s="19" t="str">
        <x:f>'_Chart Helpers'!E8</x:f>
        <x:v>仅描述</x:v>
      </x:c>
      <x:c r="D51" s="150" t="n">
        <x:f>'_Chart Helpers'!B8</x:f>
        <x:v>0.326530612244898</x:v>
      </x:c>
      <x:c r="E51" s="150" t="n">
        <x:f>'_Chart Helpers'!C8</x:f>
        <x:v>0.45816326530612245</x:v>
      </x:c>
      <x:c r="F51" s="150" t="n">
        <x:f t="shared" si="0">'_Chart Helpers'!D8</x:f>
        <x:v>0.13163265306122446</x:v>
      </x:c>
      <x:c r="G51" s="21" t="str">
        <x:f t="shared" si="1"/>
        <x:v>百分点</x:v>
      </x:c>
      <x:c r="H51" s="153" t="str">
        <x:f>'_Chart Helpers'!F8</x:f>
        <x:v>仅描述</x:v>
      </x:c>
      <x:c r="I51" s="12"/>
      <x:c r="J51" s="69"/>
      <x:c r="K51" s="70"/>
      <x:c r="L51" s="70"/>
      <x:c r="M51" s="70"/>
      <x:c r="N51" s="70"/>
      <x:c r="O51" s="70"/>
      <x:c r="P51" s="70"/>
      <x:c r="Q51" s="71"/>
    </x:row>
    <x:row r="52">
      <x:c r="B52" s="18" t="str">
        <x:f>'_Chart Helpers'!A9</x:f>
        <x:v>手续费USDT</x:v>
      </x:c>
      <x:c r="C52" s="19" t="str">
        <x:f>'_Chart Helpers'!E9</x:f>
        <x:v>越低越好</x:v>
      </x:c>
      <x:c r="D52" s="152" t="n">
        <x:f>'_Chart Helpers'!B9</x:f>
        <x:v>313.05750229679745</x:v>
      </x:c>
      <x:c r="E52" s="152" t="n">
        <x:f>'_Chart Helpers'!C9</x:f>
        <x:v>111.08406091064347</x:v>
      </x:c>
      <x:c r="F52" s="152" t="n">
        <x:f t="shared" si="0">'_Chart Helpers'!D9</x:f>
        <x:v>-201.97344138615398</x:v>
      </x:c>
      <x:c r="G52" s="21" t="str">
        <x:f t="shared" si="1"/>
        <x:v>数值</x:v>
      </x:c>
      <x:c r="H52" s="153" t="str">
        <x:f>'_Chart Helpers'!F9</x:f>
        <x:v>2ATR较好</x:v>
      </x:c>
      <x:c r="I52" s="12"/>
      <x:c r="J52" s="72"/>
      <x:c r="K52" s="73"/>
      <x:c r="L52" s="73"/>
      <x:c r="M52" s="73"/>
      <x:c r="N52" s="73"/>
      <x:c r="O52" s="73"/>
      <x:c r="P52" s="73"/>
      <x:c r="Q52" s="74"/>
    </x:row>
    <x:row r="53">
      <x:c r="B53" s="12"/>
      <x:c r="C53" s="12"/>
      <x:c r="D53" s="12"/>
      <x:c r="E53" s="12"/>
      <x:c r="F53" s="12"/>
      <x:c r="G53" s="12"/>
      <x:c r="H53" s="12"/>
      <x:c r="I53" s="12"/>
      <x:c r="J53" s="12"/>
      <x:c r="K53" s="12"/>
      <x:c r="L53" s="12"/>
      <x:c r="M53" s="12"/>
      <x:c r="N53" s="12"/>
      <x:c r="O53" s="12"/>
      <x:c r="P53" s="12"/>
      <x:c r="Q53" s="12"/>
    </x:row>
  </x:sheetData>
  <x:mergeCells>
    <x:mergeCell ref="J11:M12"/>
    <x:mergeCell ref="N5:Q5"/>
    <x:mergeCell ref="N6:Q7"/>
    <x:mergeCell ref="B43:Q43"/>
    <x:mergeCell ref="J45:Q48"/>
    <x:mergeCell ref="J50:Q52"/>
    <x:mergeCell ref="N10:Q10"/>
    <x:mergeCell ref="N11:Q12"/>
    <x:mergeCell ref="B15:I15"/>
    <x:mergeCell ref="J15:Q15"/>
    <x:mergeCell ref="B29:I29"/>
    <x:mergeCell ref="J29:Q29"/>
    <x:mergeCell ref="B10:E10"/>
    <x:mergeCell ref="B11:E12"/>
    <x:mergeCell ref="F10:I10"/>
    <x:mergeCell ref="F11:I12"/>
    <x:mergeCell ref="J10:M10"/>
    <x:mergeCell ref="B5:E5"/>
    <x:mergeCell ref="B6:E7"/>
    <x:mergeCell ref="F5:I5"/>
    <x:mergeCell ref="F6:I7"/>
    <x:mergeCell ref="J5:M5"/>
    <x:mergeCell ref="J6:M7"/>
    <x:mergeCell ref="J2:M2"/>
    <x:mergeCell ref="J3:M3"/>
    <x:mergeCell ref="N2:Q2"/>
    <x:mergeCell ref="N3:Q3"/>
    <x:mergeCell ref="B4:Q4"/>
  </x:mergeCells>
  <x:conditionalFormatting sqref="H45:H52">
    <x:cfRule type="containsText" dxfId="2" priority="1" operator="containsText" text="Favorable"/>
    <x:cfRule type="containsText" dxfId="1" priority="2" operator="containsText" text="Watch"/>
    <x:cfRule type="containsText" dxfId="0" priority="3" operator="containsText" text="Unfavorable"/>
  </x:conditionalFormatting>
  <x:pageMargins left="0.7" right="0.7" top="0.75" bottom="0.75" header="0.3" footer="0.3"/>
  <x:drawing xmlns:r="http://schemas.openxmlformats.org/officeDocument/2006/relationships" r:id="R7b658ff701934f64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3.33203125" style="27" customWidth="1"/>
    <x:col min="2" max="4" width="15" style="27" customWidth="1"/>
    <x:col min="5" max="5" width="16" style="27" hidden="0" customWidth="1"/>
    <x:col min="6" max="6" width="16" style="27" hidden="0" customWidth="1"/>
    <x:col min="7" max="8" width="15" style="27" customWidth="1"/>
    <x:col min="9" max="9" width="16" style="27" hidden="0" customWidth="1"/>
    <x:col min="10" max="10" width="16" style="27" hidden="0" customWidth="1"/>
    <x:col min="11" max="11" width="16" style="27" hidden="0" customWidth="1"/>
    <x:col min="12" max="15" width="16" style="27" customWidth="1"/>
    <x:col min="16" max="16" width="38" style="27" hidden="0" customWidth="1"/>
    <x:col min="17" max="16384" width="8.83203125" style="27" customWidth="0"/>
    <x:col min="2" max="2" width="38" hidden="0" customWidth="1"/>
    <x:col min="3" max="3" width="16" hidden="0" customWidth="1"/>
    <x:col min="4" max="4" width="16" hidden="0" customWidth="1"/>
    <x:col min="7" max="7" width="16" hidden="0" customWidth="1"/>
    <x:col min="8" max="8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</x:cols>
  <x:sheetData>
    <x:row r="2" ht="26" customHeight="1">
      <x:c r="B2" s="36" t="str">
        <x:v>BTC 回测数据</x:v>
      </x:c>
      <x:c r="C2" s="36"/>
      <x:c r="D2" s="36"/>
      <x:c r="E2" s="36"/>
      <x:c r="F2" s="36"/>
      <x:c r="G2" s="36"/>
      <x:c r="H2" s="36"/>
      <x:c r="I2" s="36"/>
      <x:c r="J2" s="36"/>
      <x:c r="K2" s="36"/>
      <x:c r="L2" s="36"/>
      <x:c r="M2" s="36"/>
      <x:c r="N2" s="36"/>
      <x:c r="O2" s="36"/>
      <x:c r="P2" s="36"/>
    </x:row>
    <x:row r="3" ht="26" customHeight="1">
      <x:c r="B3" s="38" t="str">
        <x:v>方案快照与计算口径</x:v>
      </x:c>
      <x:c r="C3" s="37"/>
      <x:c r="D3" s="37"/>
      <x:c r="E3" s="37"/>
      <x:c r="F3" s="37"/>
      <x:c r="G3" s="37"/>
      <x:c r="H3" s="37"/>
      <x:c r="I3" s="37"/>
      <x:c r="J3" s="37"/>
      <x:c r="K3" s="37"/>
      <x:c r="L3" s="37"/>
      <x:c r="M3" s="37"/>
      <x:c r="N3" s="37"/>
      <x:c r="O3" s="37"/>
      <x:c r="P3" s="37"/>
    </x:row>
    <x:row r="4">
      <x:c r="B4" s="28"/>
      <x:c r="C4" s="28"/>
      <x:c r="D4" s="28"/>
      <x:c r="E4" s="28"/>
      <x:c r="F4" s="28"/>
      <x:c r="G4" s="28"/>
      <x:c r="H4" s="28"/>
      <x:c r="I4" s="28"/>
      <x:c r="J4" s="28"/>
      <x:c r="K4" s="28"/>
      <x:c r="L4" s="28"/>
      <x:c r="M4" s="28"/>
      <x:c r="N4" s="28"/>
      <x:c r="O4" s="28"/>
      <x:c r="P4" s="28"/>
    </x:row>
    <x:row r="5" ht="22" customHeight="1">
      <x:c r="B5" s="87" t="str">
        <x:v>冻结回测结果，不是可在 Excel 内重新运行的策略模型</x:v>
      </x:c>
      <x:c r="C5" s="87"/>
      <x:c r="D5" s="87"/>
      <x:c r="E5" s="87"/>
      <x:c r="F5" s="87"/>
      <x:c r="G5" s="87"/>
      <x:c r="H5" s="87"/>
      <x:c r="I5" s="87"/>
      <x:c r="J5" s="87"/>
      <x:c r="K5" s="87"/>
      <x:c r="L5" s="87"/>
      <x:c r="M5" s="87"/>
      <x:c r="N5" s="87"/>
      <x:c r="O5" s="87"/>
      <x:c r="P5" s="87"/>
    </x:row>
    <x:row r="6" ht="22" customHeight="1">
      <x:c r="B6" s="88" t="str">
        <x:v>BINANCE:BTCUSDT 1D，2024-01-01～2026-09-06；2022年起预热，4h过滤使用当日最后一根。</x:v>
      </x:c>
      <x:c r="C6" s="88"/>
      <x:c r="D6" s="88"/>
      <x:c r="E6" s="88"/>
      <x:c r="F6" s="88"/>
      <x:c r="G6" s="88"/>
      <x:c r="H6" s="88"/>
      <x:c r="I6" s="88"/>
      <x:c r="J6" s="88"/>
      <x:c r="K6" s="88"/>
      <x:c r="L6" s="88"/>
      <x:c r="M6" s="88"/>
      <x:c r="N6" s="88"/>
      <x:c r="O6" s="88"/>
      <x:c r="P6" s="88"/>
    </x:row>
    <x:row r="7" ht="22" customHeight="1">
      <x:c r="B7" s="88" t="str">
        <x:v>初始资金与每笔名义仓位均10,000 USDT；单边费率0.1%；主表无滑点；收盘判断、次日开盘成交。</x:v>
      </x:c>
      <x:c r="C7" s="88"/>
      <x:c r="D7" s="88"/>
      <x:c r="E7" s="88"/>
      <x:c r="F7" s="88"/>
      <x:c r="G7" s="88"/>
      <x:c r="H7" s="88"/>
      <x:c r="I7" s="88"/>
      <x:c r="J7" s="88"/>
      <x:c r="K7" s="88"/>
      <x:c r="L7" s="88"/>
      <x:c r="M7" s="88"/>
      <x:c r="N7" s="88"/>
      <x:c r="O7" s="88"/>
      <x:c r="P7" s="88"/>
    </x:row>
    <x:row r="8">
      <x:c r="B8" s="28"/>
      <x:c r="C8" s="28"/>
      <x:c r="D8" s="28"/>
      <x:c r="E8" s="28"/>
      <x:c r="F8" s="28"/>
      <x:c r="G8" s="28"/>
      <x:c r="H8" s="28"/>
      <x:c r="I8" s="28"/>
      <x:c r="J8" s="28"/>
      <x:c r="K8" s="28"/>
      <x:c r="L8" s="28"/>
      <x:c r="M8" s="28"/>
      <x:c r="N8" s="28"/>
      <x:c r="O8" s="28"/>
      <x:c r="P8" s="28"/>
    </x:row>
    <x:row r="9">
      <x:c r="B9" s="1" t="str">
        <x:v>区间开始</x:v>
      </x:c>
      <x:c r="C9" s="89" t="n">
        <x:v>45292</x:v>
      </x:c>
      <x:c r="D9" s="28"/>
      <x:c r="E9" s="28"/>
      <x:c r="F9" s="28"/>
      <x:c r="G9" s="28"/>
      <x:c r="H9" s="28"/>
      <x:c r="I9" s="28"/>
      <x:c r="J9" s="28"/>
      <x:c r="K9" s="28"/>
      <x:c r="L9" s="28"/>
      <x:c r="M9" s="28"/>
      <x:c r="N9" s="28"/>
      <x:c r="O9" s="28"/>
      <x:c r="P9" s="28"/>
    </x:row>
    <x:row r="10" ht="26">
      <x:c r="B10" s="1" t="str">
        <x:v>区间结束</x:v>
      </x:c>
      <x:c r="C10" s="90" t="n">
        <x:v>46271</x:v>
      </x:c>
      <x:c r="D10" s="28"/>
      <x:c r="E10" s="28"/>
      <x:c r="F10" s="28"/>
      <x:c r="G10" s="28"/>
      <x:c r="H10" s="28"/>
      <x:c r="I10" s="28"/>
      <x:c r="J10" s="28"/>
      <x:c r="K10" s="28"/>
      <x:c r="L10" s="28"/>
      <x:c r="M10" s="28"/>
      <x:c r="N10" s="28"/>
      <x:c r="O10" s="28"/>
      <x:c r="P10" s="28"/>
    </x:row>
    <x:row r="11">
      <x:c r="B11" s="1" t="str">
        <x:v>数据来源</x:v>
      </x:c>
      <x:c r="C11" s="84" t="str">
        <x:v>Binance公共行情 https://data-api.binance.vision/api/v3/klines；仓库回测结果 results.json / filter-results.json / atr-stop-results.json</x:v>
      </x:c>
      <x:c r="D11" s="84"/>
      <x:c r="E11" s="84"/>
      <x:c r="F11" s="84"/>
      <x:c r="G11" s="84"/>
      <x:c r="H11" s="84"/>
      <x:c r="I11" s="84"/>
      <x:c r="J11" s="84"/>
      <x:c r="K11" s="84"/>
      <x:c r="L11" s="84"/>
      <x:c r="M11" s="84"/>
      <x:c r="N11" s="84"/>
      <x:c r="O11" s="84"/>
      <x:c r="P11" s="84"/>
    </x:row>
    <x:row r="12">
      <x:c r="B12" s="28"/>
      <x:c r="C12" s="28"/>
      <x:c r="D12" s="28"/>
      <x:c r="E12" s="28"/>
      <x:c r="F12" s="28"/>
      <x:c r="G12" s="28"/>
      <x:c r="H12" s="28"/>
      <x:c r="I12" s="28"/>
      <x:c r="J12" s="28"/>
      <x:c r="K12" s="28"/>
      <x:c r="L12" s="28"/>
      <x:c r="M12" s="28"/>
      <x:c r="N12" s="28"/>
      <x:c r="O12" s="28"/>
      <x:c r="P12" s="28"/>
    </x:row>
    <x:row r="13" ht="22" customHeight="1">
      <x:c r="B13" s="85" t="str">
        <x:v>主要方案快照（全区间收益包含未平仓损益；候选均属历史探索）</x:v>
      </x:c>
      <x:c r="C13" s="85"/>
      <x:c r="D13" s="85"/>
      <x:c r="E13" s="85"/>
      <x:c r="F13" s="85"/>
      <x:c r="G13" s="85"/>
      <x:c r="H13" s="85"/>
      <x:c r="I13" s="85"/>
      <x:c r="J13" s="85"/>
      <x:c r="K13" s="85"/>
      <x:c r="L13" s="85"/>
      <x:c r="M13" s="85"/>
      <x:c r="N13" s="85"/>
      <x:c r="O13" s="85"/>
      <x:c r="P13" s="85"/>
    </x:row>
    <x:row r="14">
      <x:c r="B14" s="28"/>
      <x:c r="C14" s="28"/>
      <x:c r="D14" s="28"/>
      <x:c r="E14" s="28"/>
      <x:c r="F14" s="28"/>
      <x:c r="G14" s="28"/>
      <x:c r="H14" s="28"/>
      <x:c r="I14" s="28"/>
      <x:c r="J14" s="28"/>
      <x:c r="K14" s="28"/>
      <x:c r="L14" s="28"/>
      <x:c r="M14" s="28"/>
      <x:c r="N14" s="28"/>
      <x:c r="O14" s="28"/>
      <x:c r="P14" s="28"/>
    </x:row>
    <x:row r="15" ht="34" customHeight="1">
      <x:c r="B15" s="98" t="str">
        <x:v>方案</x:v>
      </x:c>
      <x:c r="C15" s="98" t="str">
        <x:v>总收益</x:v>
      </x:c>
      <x:c r="D15" s="98" t="str">
        <x:v>已平仓收益</x:v>
      </x:c>
      <x:c r="E15" s="98" t="str">
        <x:v>浮盈净贡献</x:v>
      </x:c>
      <x:c r="F15" s="98" t="str">
        <x:v>收盘回撤</x:v>
      </x:c>
      <x:c r="G15" s="98" t="str">
        <x:v>平仓笔数</x:v>
      </x:c>
      <x:c r="H15" s="98" t="str">
        <x:v>胜率</x:v>
      </x:c>
      <x:c r="I15" s="98" t="str">
        <x:v>利润因子</x:v>
      </x:c>
      <x:c r="J15" s="98" t="str">
        <x:v>2024独立</x:v>
      </x:c>
      <x:c r="K15" s="98" t="str">
        <x:v>2025独立</x:v>
      </x:c>
      <x:c r="L15" s="98" t="str">
        <x:v>2026独立</x:v>
      </x:c>
      <x:c r="M15" s="98" t="str">
        <x:v>持仓占比</x:v>
      </x:c>
      <x:c r="N15" s="98" t="str">
        <x:v>手续费USDT</x:v>
      </x:c>
      <x:c r="O15" s="98" t="str">
        <x:v>期末持仓</x:v>
      </x:c>
      <x:c r="P15" s="98" t="str">
        <x:v>说明</x:v>
      </x:c>
    </x:row>
    <x:row r="16" ht="25" customHeight="1">
      <x:c r="B16" s="103" t="str">
        <x:v>原EMA21多空</x:v>
      </x:c>
      <x:c r="C16" s="99" t="n">
        <x:v>0.04975811547598541</x:v>
      </x:c>
      <x:c r="D16" s="99" t="n">
        <x:v>-0.19423185928231707</x:v>
      </x:c>
      <x:c r="E16" s="99" t="n">
        <x:f>C16-D16</x:f>
        <x:v>0.24398997475830247</x:v>
      </x:c>
      <x:c r="F16" s="99" t="n">
        <x:v>0.42242791998754753</x:v>
      </x:c>
      <x:c r="G16" s="102" t="n">
        <x:v>21</x:v>
      </x:c>
      <x:c r="H16" s="99" t="n">
        <x:v>0.19047619047619047</x:v>
      </x:c>
      <x:c r="I16" s="100" t="n">
        <x:v>0.7418227735959648</x:v>
      </x:c>
      <x:c r="J16" s="99" t="n">
        <x:v>0.1084856349873091</x:v>
      </x:c>
      <x:c r="K16" s="99" t="n">
        <x:v>-0.0445482110876444</x:v>
      </x:c>
      <x:c r="L16" s="99" t="n">
        <x:v>0.21620404592772105</x:v>
      </x:c>
      <x:c r="M16" s="99" t="n">
        <x:v>0.39081632653061227</x:v>
      </x:c>
      <x:c r="N16" s="101" t="n">
        <x:v>435.3153359257598</x:v>
      </x:c>
      <x:c r="O16" s="104" t="str">
        <x:v>未平仓</x:v>
      </x:c>
      <x:c r="P16" s="105" t="str">
        <x:v>唯一多空基线</x:v>
      </x:c>
    </x:row>
    <x:row r="17" ht="25" customHeight="1">
      <x:c r="B17" s="103" t="str">
        <x:v>EMA21仅多</x:v>
      </x:c>
      <x:c r="C17" s="99" t="n">
        <x:v>0.46899166937324854</x:v>
      </x:c>
      <x:c r="D17" s="99" t="n">
        <x:v>0.2250016946149462</x:v>
      </x:c>
      <x:c r="E17" s="99" t="n">
        <x:f>C17-D17</x:f>
        <x:v>0.24398997475830234</x:v>
      </x:c>
      <x:c r="F17" s="99" t="n">
        <x:v>0.31377629798577034</x:v>
      </x:c>
      <x:c r="G17" s="102" t="n">
        <x:v>15</x:v>
      </x:c>
      <x:c r="H17" s="99" t="n">
        <x:v>0.33333333333333326</x:v>
      </x:c>
      <x:c r="I17" s="100" t="n">
        <x:v>1.5676681702930133</x:v>
      </x:c>
      <x:c r="J17" s="99" t="n">
        <x:v>0.22384458434065269</x:v>
      </x:c>
      <x:c r="K17" s="99" t="n">
        <x:v>-0.05052222199368184</x:v>
      </x:c>
      <x:c r="L17" s="99" t="n">
        <x:v>0.26585960899473604</x:v>
      </x:c>
      <x:c r="M17" s="99" t="n">
        <x:v>0.33979591836734696</x:v>
      </x:c>
      <x:c r="N17" s="101" t="n">
        <x:v>312.552569515665</x:v>
      </x:c>
      <x:c r="O17" s="104" t="str">
        <x:v>未平仓</x:v>
      </x:c>
      <x:c r="P17" s="105" t="str">
        <x:v>仅多；历史探索</x:v>
      </x:c>
    </x:row>
    <x:row r="18" ht="25" customHeight="1">
      <x:c r="B18" s="103" t="str">
        <x:v>EMA25原退出</x:v>
      </x:c>
      <x:c r="C18" s="99" t="n">
        <x:v>0.5194344542083678</x:v>
      </x:c>
      <x:c r="D18" s="99" t="n">
        <x:v>0.27544447945006556</x:v>
      </x:c>
      <x:c r="E18" s="99" t="n">
        <x:f>C18-D18</x:f>
        <x:v>0.2439899747583022</x:v>
      </x:c>
      <x:c r="F18" s="99" t="n">
        <x:v>0.23535902059947916</x:v>
      </x:c>
      <x:c r="G18" s="102" t="n">
        <x:v>15</x:v>
      </x:c>
      <x:c r="H18" s="99" t="n">
        <x:v>0.33333333333333326</x:v>
      </x:c>
      <x:c r="I18" s="100" t="n">
        <x:v>1.7962698336062968</x:v>
      </x:c>
      <x:c r="J18" s="99" t="n">
        <x:v>0.30173419413690605</x:v>
      </x:c>
      <x:c r="K18" s="99" t="n">
        <x:v>-0.07796904695481588</x:v>
      </x:c>
      <x:c r="L18" s="99" t="n">
        <x:v>0.26585960899473604</x:v>
      </x:c>
      <x:c r="M18" s="99" t="n">
        <x:v>0.326530612244898</x:v>
      </x:c>
      <x:c r="N18" s="101" t="n">
        <x:v>313.05750229679745</x:v>
      </x:c>
      <x:c r="O18" s="104" t="str">
        <x:v>未平仓</x:v>
      </x:c>
      <x:c r="P18" s="105" t="str">
        <x:v>仅多；历史探索</x:v>
      </x:c>
    </x:row>
    <x:row r="19" ht="25" customHeight="1">
      <x:c r="B19" s="103" t="str">
        <x:v>EMA25持续低于52−300</x:v>
      </x:c>
      <x:c r="C19" s="99" t="n">
        <x:v>0.4492324170171109</x:v>
      </x:c>
      <x:c r="D19" s="99" t="n">
        <x:v>0.20524244225880872</x:v>
      </x:c>
      <x:c r="E19" s="99" t="n">
        <x:f>C19-D19</x:f>
        <x:v>0.2439899747583022</x:v>
      </x:c>
      <x:c r="F19" s="99" t="n">
        <x:v>0.23535902059947916</x:v>
      </x:c>
      <x:c r="G19" s="102" t="n">
        <x:v>15</x:v>
      </x:c>
      <x:c r="H19" s="99" t="n">
        <x:v>0.26666666666666666</x:v>
      </x:c>
      <x:c r="I19" s="100" t="n">
        <x:v>1.581677811418094</x:v>
      </x:c>
      <x:c r="J19" s="99" t="n">
        <x:v>0.30173419413690605</x:v>
      </x:c>
      <x:c r="K19" s="99" t="n">
        <x:v>-0.07796904695481588</x:v>
      </x:c>
      <x:c r="L19" s="99" t="n">
        <x:v>0.1956575718034792</x:v>
      </x:c>
      <x:c r="M19" s="99" t="n">
        <x:v>0.26632653061224487</x:v>
      </x:c>
      <x:c r="N19" s="101" t="n">
        <x:v>312.3547792017898</x:v>
      </x:c>
      <x:c r="O19" s="104" t="str">
        <x:v>未平仓</x:v>
      </x:c>
      <x:c r="P19" s="105" t="str">
        <x:v>仅多；历史探索</x:v>
      </x:c>
    </x:row>
    <x:row r="20" ht="25" customHeight="1">
      <x:c r="B20" s="103" t="str">
        <x:v>EMA25纯52退出</x:v>
      </x:c>
      <x:c r="C20" s="99" t="n">
        <x:v>0.37428699429128814</x:v>
      </x:c>
      <x:c r="D20" s="99" t="n">
        <x:v>0.13029701953298564</x:v>
      </x:c>
      <x:c r="E20" s="99" t="n">
        <x:f>C20-D20</x:f>
        <x:v>0.2439899747583025</x:v>
      </x:c>
      <x:c r="F20" s="99" t="n">
        <x:v>0.25604685073632305</x:v>
      </x:c>
      <x:c r="G20" s="102" t="n">
        <x:v>17</x:v>
      </x:c>
      <x:c r="H20" s="99" t="n">
        <x:v>0.2352941176470588</x:v>
      </x:c>
      <x:c r="I20" s="100" t="n">
        <x:v>1.3003315489338838</x:v>
      </x:c>
      <x:c r="J20" s="99" t="n">
        <x:v>0.29548341005319756</x:v>
      </x:c>
      <x:c r="K20" s="99" t="n">
        <x:v>-0.12217775510552309</x:v>
      </x:c>
      <x:c r="L20" s="99" t="n">
        <x:v>0.2009813393436135</x:v>
      </x:c>
      <x:c r="M20" s="99" t="n">
        <x:v>0.25510204081632654</x:v>
      </x:c>
      <x:c r="N20" s="101" t="n">
        <x:v>351.64461481013996</x:v>
      </x:c>
      <x:c r="O20" s="104" t="str">
        <x:v>未平仓</x:v>
      </x:c>
      <x:c r="P20" s="105" t="str">
        <x:v>仅多；历史探索</x:v>
      </x:c>
    </x:row>
    <x:row r="21" ht="25" customHeight="1">
      <x:c r="B21" s="103" t="str">
        <x:v>EMA25两日确认</x:v>
      </x:c>
      <x:c r="C21" s="99" t="n">
        <x:v>0.49569405689046775</x:v>
      </x:c>
      <x:c r="D21" s="99" t="n">
        <x:v>0.25170408213216544</x:v>
      </x:c>
      <x:c r="E21" s="99" t="n">
        <x:f>C21-D21</x:f>
        <x:v>0.2439899747583023</x:v>
      </x:c>
      <x:c r="F21" s="99" t="n">
        <x:v>0.24318834844190623</x:v>
      </x:c>
      <x:c r="G21" s="102" t="n">
        <x:v>13</x:v>
      </x:c>
      <x:c r="H21" s="99" t="n">
        <x:v>0.23076923076923075</x:v>
      </x:c>
      <x:c r="I21" s="100" t="n">
        <x:v>1.6623262179967997</x:v>
      </x:c>
      <x:c r="J21" s="99" t="n">
        <x:v>0.2934765127827883</x:v>
      </x:c>
      <x:c r="K21" s="99" t="n">
        <x:v>-0.054075986884883465</x:v>
      </x:c>
      <x:c r="L21" s="99" t="n">
        <x:v>0.20345094455221857</x:v>
      </x:c>
      <x:c r="M21" s="99" t="n">
        <x:v>0.2816326530612245</x:v>
      </x:c>
      <x:c r="N21" s="101" t="n">
        <x:v>272.7798206419636</x:v>
      </x:c>
      <x:c r="O21" s="104" t="str">
        <x:v>未平仓</x:v>
      </x:c>
      <x:c r="P21" s="105" t="str">
        <x:v>仅多；历史探索</x:v>
      </x:c>
    </x:row>
    <x:row r="22" ht="25" customHeight="1">
      <x:c r="B22" s="103" t="str">
        <x:v>EMA25最高价3ATR</x:v>
      </x:c>
      <x:c r="C22" s="99" t="n">
        <x:v>0.39034654917453837</x:v>
      </x:c>
      <x:c r="D22" s="99" t="n">
        <x:v>0.14635657441623592</x:v>
      </x:c>
      <x:c r="E22" s="99" t="n">
        <x:f>C22-D22</x:f>
        <x:v>0.24398997475830245</x:v>
      </x:c>
      <x:c r="F22" s="99" t="n">
        <x:v>0.23796904402465735</x:v>
      </x:c>
      <x:c r="G22" s="102" t="n">
        <x:v>17</x:v>
      </x:c>
      <x:c r="H22" s="99" t="n">
        <x:v>0.2352941176470588</x:v>
      </x:c>
      <x:c r="I22" s="100" t="n">
        <x:v>1.3196720579772454</x:v>
      </x:c>
      <x:c r="J22" s="99" t="n">
        <x:v>0.27339526893711863</x:v>
      </x:c>
      <x:c r="K22" s="99" t="n">
        <x:v>-0.11504977308947018</x:v>
      </x:c>
      <x:c r="L22" s="99" t="n">
        <x:v>0.1956575718034792</x:v>
      </x:c>
      <x:c r="M22" s="99" t="n">
        <x:v>0.25816326530612244</x:v>
      </x:c>
      <x:c r="N22" s="101" t="n">
        <x:v>351.8053711152776</x:v>
      </x:c>
      <x:c r="O22" s="104" t="str">
        <x:v>未平仓</x:v>
      </x:c>
      <x:c r="P22" s="105" t="str">
        <x:v>仅多；历史探索</x:v>
      </x:c>
    </x:row>
    <x:row r="23" ht="25" customHeight="1">
      <x:c r="B23" s="103" t="str">
        <x:v>状态补入原退出</x:v>
      </x:c>
      <x:c r="C23" s="99" t="n">
        <x:v>0.7942214587236807</x:v>
      </x:c>
      <x:c r="D23" s="99" t="n">
        <x:v>0.5502314839653785</x:v>
      </x:c>
      <x:c r="E23" s="99" t="n">
        <x:f>C23-D23</x:f>
        <x:v>0.2439899747583022</x:v>
      </x:c>
      <x:c r="F23" s="99" t="n">
        <x:v>0.2768665577338688</x:v>
      </x:c>
      <x:c r="G23" s="102" t="n">
        <x:v>20</x:v>
      </x:c>
      <x:c r="H23" s="99" t="n">
        <x:v>0.3</x:v>
      </x:c>
      <x:c r="I23" s="100" t="n">
        <x:v>2.089594591372542</x:v>
      </x:c>
      <x:c r="J23" s="99" t="n">
        <x:v>0.6860029179069198</x:v>
      </x:c>
      <x:c r="K23" s="99" t="n">
        <x:v>-0.11770701778391789</x:v>
      </x:c>
      <x:c r="L23" s="99" t="n">
        <x:v>0.19611586056913666</x:v>
      </x:c>
      <x:c r="M23" s="99" t="n">
        <x:v>0.4357142857142857</x:v>
      </x:c>
      <x:c r="N23" s="101" t="n">
        <x:v>415.9082230627165</x:v>
      </x:c>
      <x:c r="O23" s="104" t="str">
        <x:v>未平仓</x:v>
      </x:c>
      <x:c r="P23" s="105" t="str">
        <x:v>仅多；历史探索</x:v>
      </x:c>
    </x:row>
    <x:row r="24" ht="25" customHeight="1">
      <x:c r="B24" s="103" t="str">
        <x:v>结构线段25</x:v>
      </x:c>
      <x:c r="C24" s="99" t="n">
        <x:v>0.5859730400746186</x:v>
      </x:c>
      <x:c r="D24" s="99" t="n">
        <x:v>0.4868072384302408</x:v>
      </x:c>
      <x:c r="E24" s="99" t="n">
        <x:f>C24-D24</x:f>
        <x:v>0.09916580164437777</x:v>
      </x:c>
      <x:c r="F24" s="99" t="n">
        <x:v>0.26880336586863973</x:v>
      </x:c>
      <x:c r="G24" s="102" t="n">
        <x:v>15</x:v>
      </x:c>
      <x:c r="H24" s="99" t="n">
        <x:v>0.26666666666666666</x:v>
      </x:c>
      <x:c r="I24" s="100" t="n">
        <x:v>1.8913297270460212</x:v>
      </x:c>
      <x:c r="J24" s="99" t="n">
        <x:v>0.6256815258734099</x:v>
      </x:c>
      <x:c r="K24" s="99" t="n">
        <x:v>-0.1957834255835269</x:v>
      </x:c>
      <x:c r="L24" s="99" t="n">
        <x:v>0.07730155404009187</x:v>
      </x:c>
      <x:c r="M24" s="99" t="n">
        <x:v>0.423469387755102</x:v>
      </x:c>
      <x:c r="N24" s="101" t="n">
        <x:v>315.17324562993235</x:v>
      </x:c>
      <x:c r="O24" s="104" t="str">
        <x:v>未平仓</x:v>
      </x:c>
      <x:c r="P24" s="105" t="str">
        <x:v>仅多；历史探索</x:v>
      </x:c>
    </x:row>
    <x:row r="25" ht="25" customHeight="1">
      <x:c r="B25" s="103" t="str">
        <x:v>EMA252ATR下穿</x:v>
      </x:c>
      <x:c r="C25" s="99" t="n">
        <x:v>0.34532591828928605</x:v>
      </x:c>
      <x:c r="D25" s="99" t="n">
        <x:v>0.09829768497328323</x:v>
      </x:c>
      <x:c r="E25" s="99" t="n">
        <x:f>C25-D25</x:f>
        <x:v>0.24702823331600282</x:v>
      </x:c>
      <x:c r="F25" s="99" t="n">
        <x:v>0.29310699701186843</x:v>
      </x:c>
      <x:c r="G25" s="102" t="n">
        <x:v>5</x:v>
      </x:c>
      <x:c r="H25" s="99" t="n">
        <x:v>0.2</x:v>
      </x:c>
      <x:c r="I25" s="100" t="n">
        <x:v>1.3000342174341744</x:v>
      </x:c>
      <x:c r="J25" s="99" t="n">
        <x:v>0.2811092958405279</x:v>
      </x:c>
      <x:c r="K25" s="99" t="n">
        <x:v>-0.11909844488509913</x:v>
      </x:c>
      <x:c r="L25" s="99" t="n">
        <x:v>0.17605531928631968</x:v>
      </x:c>
      <x:c r="M25" s="99" t="n">
        <x:v>0.45816326530612245</x:v>
      </x:c>
      <x:c r="N25" s="101" t="n">
        <x:v>111.08406091064347</x:v>
      </x:c>
      <x:c r="O25" s="104" t="str">
        <x:v>未平仓</x:v>
      </x:c>
      <x:c r="P25" s="105" t="str">
        <x:v>EMA52−2ATR14；非入场价止损</x:v>
      </x:c>
    </x:row>
    <x:row r="26" ht="25" customHeight="1">
      <x:c r="B26" s="103" t="str">
        <x:v>EMA252ATR低于</x:v>
      </x:c>
      <x:c r="C26" s="99" t="n">
        <x:v>0.34532591828928605</x:v>
      </x:c>
      <x:c r="D26" s="99" t="n">
        <x:v>0.09829768497328323</x:v>
      </x:c>
      <x:c r="E26" s="99" t="n">
        <x:f>C26-D26</x:f>
        <x:v>0.24702823331600282</x:v>
      </x:c>
      <x:c r="F26" s="99" t="n">
        <x:v>0.29310699701186843</x:v>
      </x:c>
      <x:c r="G26" s="102" t="n">
        <x:v>5</x:v>
      </x:c>
      <x:c r="H26" s="99" t="n">
        <x:v>0.2</x:v>
      </x:c>
      <x:c r="I26" s="100" t="n">
        <x:v>1.3000342174341744</x:v>
      </x:c>
      <x:c r="J26" s="99" t="n">
        <x:v>0.2811092958405279</x:v>
      </x:c>
      <x:c r="K26" s="99" t="n">
        <x:v>-0.11909844488509913</x:v>
      </x:c>
      <x:c r="L26" s="99" t="n">
        <x:v>0.17605531928631968</x:v>
      </x:c>
      <x:c r="M26" s="99" t="n">
        <x:v>0.45816326530612245</x:v>
      </x:c>
      <x:c r="N26" s="101" t="n">
        <x:v>111.08406091064347</x:v>
      </x:c>
      <x:c r="O26" s="104" t="str">
        <x:v>未平仓</x:v>
      </x:c>
      <x:c r="P26" s="105" t="str">
        <x:v>EMA52−2ATR14；非入场价止损</x:v>
      </x:c>
    </x:row>
    <x:row r="27" ht="25" customHeight="1">
      <x:c r="B27" s="103" t="str">
        <x:v>状态补入2ATR低于</x:v>
      </x:c>
      <x:c r="C27" s="99" t="n">
        <x:v>0.6587992750533496</x:v>
      </x:c>
      <x:c r="D27" s="99" t="n">
        <x:v>0.4526707076707715</x:v>
      </x:c>
      <x:c r="E27" s="99" t="n">
        <x:f>C27-D27</x:f>
        <x:v>0.20612856738257807</x:v>
      </x:c>
      <x:c r="F27" s="99" t="n">
        <x:v>0.28024178038394854</x:v>
      </x:c>
      <x:c r="G27" s="102" t="n">
        <x:v>7</x:v>
      </x:c>
      <x:c r="H27" s="99" t="n">
        <x:v>0.2857142857142857</x:v>
      </x:c>
      <x:c r="I27" s="100" t="n">
        <x:v>2.524724047356537</x:v>
      </x:c>
      <x:c r="J27" s="99" t="n">
        <x:v>0.7081537509113593</x:v>
      </x:c>
      <x:c r="K27" s="99" t="n">
        <x:v>-0.11909844488509913</x:v>
      </x:c>
      <x:c r="L27" s="99" t="n">
        <x:v>0.060599324114900543</x:v>
      </x:c>
      <x:c r="M27" s="99" t="n">
        <x:v>0.6</x:v>
      </x:c>
      <x:c r="N27" s="101" t="n">
        <x:v>154.67137845516288</x:v>
      </x:c>
      <x:c r="O27" s="104" t="str">
        <x:v>未平仓</x:v>
      </x:c>
      <x:c r="P27" s="105" t="str">
        <x:v>EMA52−2ATR14；非入场价止损</x:v>
      </x:c>
    </x:row>
    <x:row r="28">
      <x:c r="B28" s="28"/>
      <x:c r="C28" s="28"/>
      <x:c r="D28" s="28"/>
      <x:c r="E28" s="28"/>
      <x:c r="F28" s="28"/>
      <x:c r="G28" s="28"/>
      <x:c r="H28" s="28"/>
      <x:c r="I28" s="28"/>
      <x:c r="J28" s="28"/>
      <x:c r="K28" s="28"/>
      <x:c r="L28" s="28"/>
      <x:c r="M28" s="28"/>
      <x:c r="N28" s="28"/>
      <x:c r="O28" s="28"/>
      <x:c r="P28" s="28"/>
    </x:row>
    <x:row r="29" ht="22" customHeight="1">
      <x:c r="B29" s="86" t="str">
        <x:v>大行情与大收益标注</x:v>
      </x:c>
      <x:c r="C29" s="86"/>
      <x:c r="D29" s="86"/>
      <x:c r="E29" s="86"/>
      <x:c r="F29" s="28"/>
      <x:c r="G29" s="86" t="str">
        <x:v>口径限制</x:v>
      </x:c>
      <x:c r="H29" s="86"/>
      <x:c r="I29" s="86"/>
      <x:c r="J29" s="86"/>
      <x:c r="K29" s="28"/>
      <x:c r="L29" s="28"/>
      <x:c r="M29" s="28"/>
      <x:c r="N29" s="28"/>
      <x:c r="O29" s="28"/>
      <x:c r="P29" s="28"/>
    </x:row>
    <x:row r="30">
      <x:c r="B30" s="3" t="str">
        <x:v>季度大行情阈值</x:v>
      </x:c>
      <x:c r="C30" s="108" t="n">
        <x:v>0.2</x:v>
      </x:c>
      <x:c r="D30" s="28"/>
      <x:c r="E30" s="28"/>
      <x:c r="F30" s="28"/>
      <x:c r="G30" s="3" t="str">
        <x:v>独立年度空仓起跑，不可相加</x:v>
      </x:c>
      <x:c r="H30" s="3"/>
      <x:c r="I30" s="28"/>
      <x:c r="J30" s="28"/>
      <x:c r="K30" s="28"/>
      <x:c r="L30" s="28"/>
      <x:c r="M30" s="28"/>
      <x:c r="N30" s="28"/>
      <x:c r="O30" s="28"/>
      <x:c r="P30" s="28"/>
    </x:row>
    <x:row r="31">
      <x:c r="B31" s="4" t="str">
        <x:v>单笔大收益阈值</x:v>
      </x:c>
      <x:c r="C31" s="109" t="n">
        <x:v>0.2</x:v>
      </x:c>
      <x:c r="D31" s="28"/>
      <x:c r="E31" s="28"/>
      <x:c r="F31" s="28"/>
      <x:c r="G31" s="4" t="str">
        <x:v>当前未平仓不算已实现收益</x:v>
      </x:c>
      <x:c r="H31" s="32"/>
      <x:c r="I31" s="28"/>
      <x:c r="J31" s="28"/>
      <x:c r="K31" s="28"/>
      <x:c r="L31" s="28"/>
      <x:c r="M31" s="28"/>
      <x:c r="N31" s="28"/>
      <x:c r="O31" s="28"/>
      <x:c r="P31" s="28"/>
    </x:row>
    <x:row r="32">
      <x:c r="B32" s="4" t="str">
        <x:v>季度特大上涨阈值</x:v>
      </x:c>
      <x:c r="C32" s="109" t="n">
        <x:v>0.5</x:v>
      </x:c>
      <x:c r="D32" s="28"/>
      <x:c r="E32" s="28"/>
      <x:c r="F32" s="28"/>
      <x:c r="G32" s="4" t="str">
        <x:v>大行情按季度复盘，非实时信号</x:v>
      </x:c>
      <x:c r="H32" s="32"/>
      <x:c r="I32" s="28"/>
      <x:c r="J32" s="28"/>
      <x:c r="K32" s="28"/>
      <x:c r="L32" s="28"/>
      <x:c r="M32" s="28"/>
      <x:c r="N32" s="28"/>
      <x:c r="O32" s="28"/>
      <x:c r="P32" s="28"/>
    </x:row>
    <x:row r="33">
      <x:c r="B33" s="4" t="str">
        <x:v>统一初始资金</x:v>
      </x:c>
      <x:c r="C33" s="32" t="n">
        <x:v>10000</x:v>
      </x:c>
      <x:c r="D33" s="28"/>
      <x:c r="E33" s="28"/>
      <x:c r="F33" s="28"/>
      <x:c r="G33" s="4" t="str">
        <x:v>原多空未计借币、资金费或强平</x:v>
      </x:c>
      <x:c r="H33" s="32"/>
      <x:c r="I33" s="28"/>
      <x:c r="J33" s="28"/>
      <x:c r="K33" s="28"/>
      <x:c r="L33" s="28"/>
      <x:c r="M33" s="28"/>
      <x:c r="N33" s="28"/>
      <x:c r="O33" s="28"/>
      <x:c r="P33" s="28"/>
    </x:row>
    <x:row r="34">
      <x:c r="B34" s="4" t="str">
        <x:v>每笔名义金额</x:v>
      </x:c>
      <x:c r="C34" s="32" t="n">
        <x:v>10000</x:v>
      </x:c>
      <x:c r="D34" s="28"/>
      <x:c r="E34" s="28"/>
      <x:c r="F34" s="28"/>
      <x:c r="G34" s="4" t="str">
        <x:v>Pine尚未原生编译及逐笔核对</x:v>
      </x:c>
      <x:c r="H34" s="32"/>
      <x:c r="I34" s="28"/>
      <x:c r="J34" s="28"/>
      <x:c r="K34" s="28"/>
      <x:c r="L34" s="28"/>
      <x:c r="M34" s="28"/>
      <x:c r="N34" s="28"/>
      <x:c r="O34" s="28"/>
      <x:c r="P34" s="28"/>
    </x:row>
    <x:row r="35">
      <x:c r="B35" s="4" t="str">
        <x:v>单边手续费</x:v>
      </x:c>
      <x:c r="C35" s="107" t="n">
        <x:v>0.001</x:v>
      </x:c>
      <x:c r="D35" s="28"/>
      <x:c r="E35" s="28"/>
      <x:c r="F35" s="28"/>
      <x:c r="G35" s="5" t="str">
        <x:v>原退出=EMA52−300；2ATR每日动态</x:v>
      </x:c>
      <x:c r="H35" s="26"/>
      <x:c r="I35" s="28"/>
      <x:c r="J35" s="28"/>
      <x:c r="K35" s="28"/>
      <x:c r="L35" s="28"/>
      <x:c r="M35" s="28"/>
      <x:c r="N35" s="28"/>
      <x:c r="O35" s="28"/>
      <x:c r="P35" s="28"/>
    </x:row>
    <x:row r="39">
      <x:c r="B39" t="str">
        <x:v>完整实验清单</x:v>
      </x:c>
    </x:row>
    <x:row r="40" ht="36" customHeight="1">
      <x:c r="B40" s="113" t="str">
        <x:v>方案</x:v>
      </x:c>
      <x:c r="C40" s="113" t="str">
        <x:v>总收益</x:v>
      </x:c>
      <x:c r="D40" s="113" t="str">
        <x:v>已平仓收益</x:v>
      </x:c>
      <x:c r="E40" s="113" t="str">
        <x:v>浮盈净贡献</x:v>
      </x:c>
      <x:c r="F40" s="113" t="str">
        <x:v>收盘回撤</x:v>
      </x:c>
      <x:c r="G40" s="113" t="str">
        <x:v>平仓笔数</x:v>
      </x:c>
      <x:c r="H40" s="113" t="str">
        <x:v>胜率</x:v>
      </x:c>
      <x:c r="I40" s="113" t="str">
        <x:v>利润因子</x:v>
      </x:c>
      <x:c r="J40" s="113" t="str">
        <x:v>2024独立</x:v>
      </x:c>
      <x:c r="K40" s="113" t="str">
        <x:v>2025独立</x:v>
      </x:c>
      <x:c r="L40" s="113" t="str">
        <x:v>2026独立</x:v>
      </x:c>
      <x:c r="M40" s="113" t="str">
        <x:v>持仓占比</x:v>
      </x:c>
      <x:c r="N40" s="113" t="str">
        <x:v>手续费USDT</x:v>
      </x:c>
      <x:c r="O40" s="113" t="str">
        <x:v>期末持仓</x:v>
      </x:c>
      <x:c r="P40" s="113" t="str">
        <x:v>说明</x:v>
      </x:c>
    </x:row>
    <x:row r="41" ht="24" customHeight="1">
      <x:c r="B41" s="118" t="str">
        <x:v>原EMA21多空</x:v>
      </x:c>
      <x:c r="C41" s="114" t="n">
        <x:v>0.04975811547598541</x:v>
      </x:c>
      <x:c r="D41" s="114" t="n">
        <x:v>-0.19423185928231707</x:v>
      </x:c>
      <x:c r="E41" s="114" t="n">
        <x:f>C41-D41</x:f>
        <x:v>0.24398997475830247</x:v>
      </x:c>
      <x:c r="F41" s="114" t="n">
        <x:v>0.42242791998754753</x:v>
      </x:c>
      <x:c r="G41" s="117" t="n">
        <x:v>21</x:v>
      </x:c>
      <x:c r="H41" s="114" t="n">
        <x:v>0.19047619047619047</x:v>
      </x:c>
      <x:c r="I41" s="116" t="n">
        <x:v>0.7418227735959648</x:v>
      </x:c>
      <x:c r="J41" s="114" t="n">
        <x:v>0.1084856349873091</x:v>
      </x:c>
      <x:c r="K41" s="114" t="n">
        <x:v>-0.0445482110876444</x:v>
      </x:c>
      <x:c r="L41" s="114" t="n">
        <x:v>0.21620404592772105</x:v>
      </x:c>
      <x:c r="M41" s="114" t="n">
        <x:v>0.39081632653061227</x:v>
      </x:c>
      <x:c r="N41" s="115" t="n">
        <x:v>435.3153359257598</x:v>
      </x:c>
      <x:c r="O41" s="110" t="str">
        <x:v>未平仓</x:v>
      </x:c>
      <x:c r="P41" s="110" t="str">
        <x:v>唯一多空基线</x:v>
      </x:c>
    </x:row>
    <x:row r="42" ht="24" customHeight="1">
      <x:c r="B42" s="118" t="str">
        <x:v>EMA21仅多</x:v>
      </x:c>
      <x:c r="C42" s="114" t="n">
        <x:v>0.46899166937324854</x:v>
      </x:c>
      <x:c r="D42" s="114" t="n">
        <x:v>0.2250016946149462</x:v>
      </x:c>
      <x:c r="E42" s="114" t="n">
        <x:f>C42-D42</x:f>
        <x:v>0.24398997475830234</x:v>
      </x:c>
      <x:c r="F42" s="114" t="n">
        <x:v>0.31377629798577034</x:v>
      </x:c>
      <x:c r="G42" s="117" t="n">
        <x:v>15</x:v>
      </x:c>
      <x:c r="H42" s="114" t="n">
        <x:v>0.33333333333333326</x:v>
      </x:c>
      <x:c r="I42" s="116" t="n">
        <x:v>1.5676681702930133</x:v>
      </x:c>
      <x:c r="J42" s="114" t="n">
        <x:v>0.22384458434065269</x:v>
      </x:c>
      <x:c r="K42" s="114" t="n">
        <x:v>-0.05052222199368184</x:v>
      </x:c>
      <x:c r="L42" s="114" t="n">
        <x:v>0.26585960899473604</x:v>
      </x:c>
      <x:c r="M42" s="114" t="n">
        <x:v>0.33979591836734696</x:v>
      </x:c>
      <x:c r="N42" s="115" t="n">
        <x:v>312.552569515665</x:v>
      </x:c>
      <x:c r="O42" s="110" t="str">
        <x:v>未平仓</x:v>
      </x:c>
      <x:c r="P42" s="110" t="str">
        <x:v>仅多；历史探索</x:v>
      </x:c>
    </x:row>
    <x:row r="43" ht="24" customHeight="1">
      <x:c r="B43" s="118" t="str">
        <x:v>EMA25原退出</x:v>
      </x:c>
      <x:c r="C43" s="114" t="n">
        <x:v>0.5194344542083678</x:v>
      </x:c>
      <x:c r="D43" s="114" t="n">
        <x:v>0.27544447945006556</x:v>
      </x:c>
      <x:c r="E43" s="114" t="n">
        <x:f>C43-D43</x:f>
        <x:v>0.2439899747583022</x:v>
      </x:c>
      <x:c r="F43" s="114" t="n">
        <x:v>0.23535902059947916</x:v>
      </x:c>
      <x:c r="G43" s="117" t="n">
        <x:v>15</x:v>
      </x:c>
      <x:c r="H43" s="114" t="n">
        <x:v>0.33333333333333326</x:v>
      </x:c>
      <x:c r="I43" s="116" t="n">
        <x:v>1.7962698336062968</x:v>
      </x:c>
      <x:c r="J43" s="114" t="n">
        <x:v>0.30173419413690605</x:v>
      </x:c>
      <x:c r="K43" s="114" t="n">
        <x:v>-0.07796904695481588</x:v>
      </x:c>
      <x:c r="L43" s="114" t="n">
        <x:v>0.26585960899473604</x:v>
      </x:c>
      <x:c r="M43" s="114" t="n">
        <x:v>0.326530612244898</x:v>
      </x:c>
      <x:c r="N43" s="115" t="n">
        <x:v>313.05750229679745</x:v>
      </x:c>
      <x:c r="O43" s="110" t="str">
        <x:v>未平仓</x:v>
      </x:c>
      <x:c r="P43" s="110" t="str">
        <x:v>仅多；历史探索</x:v>
      </x:c>
    </x:row>
    <x:row r="44" ht="24" customHeight="1">
      <x:c r="B44" s="118" t="str">
        <x:v>EMA25持续低于52−300</x:v>
      </x:c>
      <x:c r="C44" s="114" t="n">
        <x:v>0.4492324170171109</x:v>
      </x:c>
      <x:c r="D44" s="114" t="n">
        <x:v>0.20524244225880872</x:v>
      </x:c>
      <x:c r="E44" s="114" t="n">
        <x:f>C44-D44</x:f>
        <x:v>0.2439899747583022</x:v>
      </x:c>
      <x:c r="F44" s="114" t="n">
        <x:v>0.23535902059947916</x:v>
      </x:c>
      <x:c r="G44" s="117" t="n">
        <x:v>15</x:v>
      </x:c>
      <x:c r="H44" s="114" t="n">
        <x:v>0.26666666666666666</x:v>
      </x:c>
      <x:c r="I44" s="116" t="n">
        <x:v>1.581677811418094</x:v>
      </x:c>
      <x:c r="J44" s="114" t="n">
        <x:v>0.30173419413690605</x:v>
      </x:c>
      <x:c r="K44" s="114" t="n">
        <x:v>-0.07796904695481588</x:v>
      </x:c>
      <x:c r="L44" s="114" t="n">
        <x:v>0.1956575718034792</x:v>
      </x:c>
      <x:c r="M44" s="114" t="n">
        <x:v>0.26632653061224487</x:v>
      </x:c>
      <x:c r="N44" s="115" t="n">
        <x:v>312.3547792017898</x:v>
      </x:c>
      <x:c r="O44" s="110" t="str">
        <x:v>未平仓</x:v>
      </x:c>
      <x:c r="P44" s="110" t="str">
        <x:v>仅多；历史探索</x:v>
      </x:c>
    </x:row>
    <x:row r="45" ht="24" customHeight="1">
      <x:c r="B45" s="118" t="str">
        <x:v>EMA25两日确认</x:v>
      </x:c>
      <x:c r="C45" s="114" t="n">
        <x:v>0.49569405689046775</x:v>
      </x:c>
      <x:c r="D45" s="114" t="n">
        <x:v>0.25170408213216544</x:v>
      </x:c>
      <x:c r="E45" s="114" t="n">
        <x:f>C45-D45</x:f>
        <x:v>0.2439899747583023</x:v>
      </x:c>
      <x:c r="F45" s="114" t="n">
        <x:v>0.24318834844190623</x:v>
      </x:c>
      <x:c r="G45" s="117" t="n">
        <x:v>13</x:v>
      </x:c>
      <x:c r="H45" s="114" t="n">
        <x:v>0.23076923076923075</x:v>
      </x:c>
      <x:c r="I45" s="116" t="n">
        <x:v>1.6623262179967997</x:v>
      </x:c>
      <x:c r="J45" s="114" t="n">
        <x:v>0.2934765127827883</x:v>
      </x:c>
      <x:c r="K45" s="114" t="n">
        <x:v>-0.054075986884883465</x:v>
      </x:c>
      <x:c r="L45" s="114" t="n">
        <x:v>0.20345094455221857</x:v>
      </x:c>
      <x:c r="M45" s="114" t="n">
        <x:v>0.2816326530612245</x:v>
      </x:c>
      <x:c r="N45" s="115" t="n">
        <x:v>272.7798206419636</x:v>
      </x:c>
      <x:c r="O45" s="110" t="str">
        <x:v>未平仓</x:v>
      </x:c>
      <x:c r="P45" s="110" t="str">
        <x:v>仅多；历史探索</x:v>
      </x:c>
    </x:row>
    <x:row r="46" ht="24" customHeight="1">
      <x:c r="B46" s="118" t="str">
        <x:v>EMA25最高价3ATR</x:v>
      </x:c>
      <x:c r="C46" s="114" t="n">
        <x:v>0.39034654917453837</x:v>
      </x:c>
      <x:c r="D46" s="114" t="n">
        <x:v>0.14635657441623592</x:v>
      </x:c>
      <x:c r="E46" s="114" t="n">
        <x:f>C46-D46</x:f>
        <x:v>0.24398997475830245</x:v>
      </x:c>
      <x:c r="F46" s="114" t="n">
        <x:v>0.23796904402465735</x:v>
      </x:c>
      <x:c r="G46" s="117" t="n">
        <x:v>17</x:v>
      </x:c>
      <x:c r="H46" s="114" t="n">
        <x:v>0.2352941176470588</x:v>
      </x:c>
      <x:c r="I46" s="116" t="n">
        <x:v>1.3196720579772454</x:v>
      </x:c>
      <x:c r="J46" s="114" t="n">
        <x:v>0.27339526893711863</x:v>
      </x:c>
      <x:c r="K46" s="114" t="n">
        <x:v>-0.11504977308947018</x:v>
      </x:c>
      <x:c r="L46" s="114" t="n">
        <x:v>0.1956575718034792</x:v>
      </x:c>
      <x:c r="M46" s="114" t="n">
        <x:v>0.25816326530612244</x:v>
      </x:c>
      <x:c r="N46" s="115" t="n">
        <x:v>351.8053711152776</x:v>
      </x:c>
      <x:c r="O46" s="110" t="str">
        <x:v>未平仓</x:v>
      </x:c>
      <x:c r="P46" s="110" t="str">
        <x:v>仅多；历史探索</x:v>
      </x:c>
    </x:row>
    <x:row r="47" ht="24" customHeight="1">
      <x:c r="B47" s="118" t="str">
        <x:v>EMA25下跌确认5日</x:v>
      </x:c>
      <x:c r="C47" s="114" t="n">
        <x:v>0.4492324170171109</x:v>
      </x:c>
      <x:c r="D47" s="114" t="n">
        <x:v>0.20524244225880872</x:v>
      </x:c>
      <x:c r="E47" s="114" t="n">
        <x:f>C47-D47</x:f>
        <x:v>0.2439899747583022</x:v>
      </x:c>
      <x:c r="F47" s="114" t="n">
        <x:v>0.23535902059947916</x:v>
      </x:c>
      <x:c r="G47" s="117" t="n">
        <x:v>15</x:v>
      </x:c>
      <x:c r="H47" s="114" t="n">
        <x:v>0.26666666666666666</x:v>
      </x:c>
      <x:c r="I47" s="116" t="n">
        <x:v>1.581677811418094</x:v>
      </x:c>
      <x:c r="J47" s="114" t="n">
        <x:v>0.30173419413690605</x:v>
      </x:c>
      <x:c r="K47" s="114" t="n">
        <x:v>-0.07796904695481588</x:v>
      </x:c>
      <x:c r="L47" s="114" t="n">
        <x:v>0.1956575718034792</x:v>
      </x:c>
      <x:c r="M47" s="114" t="n">
        <x:v>0.26632653061224487</x:v>
      </x:c>
      <x:c r="N47" s="115" t="n">
        <x:v>312.3547792017898</x:v>
      </x:c>
      <x:c r="O47" s="110" t="str">
        <x:v>未平仓</x:v>
      </x:c>
      <x:c r="P47" s="110" t="str">
        <x:v>仅多；历史探索</x:v>
      </x:c>
    </x:row>
    <x:row r="48" ht="24" customHeight="1">
      <x:c r="B48" s="118" t="str">
        <x:v>结构线段25</x:v>
      </x:c>
      <x:c r="C48" s="114" t="n">
        <x:v>0.5859730400746186</x:v>
      </x:c>
      <x:c r="D48" s="114" t="n">
        <x:v>0.4868072384302408</x:v>
      </x:c>
      <x:c r="E48" s="114" t="n">
        <x:f>C48-D48</x:f>
        <x:v>0.09916580164437777</x:v>
      </x:c>
      <x:c r="F48" s="114" t="n">
        <x:v>0.26880336586863973</x:v>
      </x:c>
      <x:c r="G48" s="117" t="n">
        <x:v>15</x:v>
      </x:c>
      <x:c r="H48" s="114" t="n">
        <x:v>0.26666666666666666</x:v>
      </x:c>
      <x:c r="I48" s="116" t="n">
        <x:v>1.8913297270460212</x:v>
      </x:c>
      <x:c r="J48" s="114" t="n">
        <x:v>0.6256815258734099</x:v>
      </x:c>
      <x:c r="K48" s="114" t="n">
        <x:v>-0.1957834255835269</x:v>
      </x:c>
      <x:c r="L48" s="114" t="n">
        <x:v>0.07730155404009187</x:v>
      </x:c>
      <x:c r="M48" s="114" t="n">
        <x:v>0.423469387755102</x:v>
      </x:c>
      <x:c r="N48" s="115" t="n">
        <x:v>315.17324562993235</x:v>
      </x:c>
      <x:c r="O48" s="110" t="str">
        <x:v>未平仓</x:v>
      </x:c>
      <x:c r="P48" s="110" t="str">
        <x:v>仅多；历史探索</x:v>
      </x:c>
    </x:row>
    <x:row r="49" ht="24" customHeight="1">
      <x:c r="B49" s="118" t="str">
        <x:v>结构线段3ATR</x:v>
      </x:c>
      <x:c r="C49" s="114" t="n">
        <x:v>0.3918064923856892</x:v>
      </x:c>
      <x:c r="D49" s="114" t="n">
        <x:v>0.29264069074131155</x:v>
      </x:c>
      <x:c r="E49" s="114" t="n">
        <x:f>C49-D49</x:f>
        <x:v>0.09916580164437766</x:v>
      </x:c>
      <x:c r="F49" s="114" t="n">
        <x:v>0.33377333636779155</x:v>
      </x:c>
      <x:c r="G49" s="117" t="n">
        <x:v>19</x:v>
      </x:c>
      <x:c r="H49" s="114" t="n">
        <x:v>0.21052631578947367</x:v>
      </x:c>
      <x:c r="I49" s="116" t="n">
        <x:v>1.3975333749650254</x:v>
      </x:c>
      <x:c r="J49" s="114" t="n">
        <x:v>0.5029985310485525</x:v>
      </x:c>
      <x:c r="K49" s="114" t="n">
        <x:v>-0.2738007619394679</x:v>
      </x:c>
      <x:c r="L49" s="114" t="n">
        <x:v>0.07730155404009187</x:v>
      </x:c>
      <x:c r="M49" s="114" t="n">
        <x:v>0.40816326530612246</x:v>
      </x:c>
      <x:c r="N49" s="115" t="n">
        <x:v>393.30971662403715</x:v>
      </x:c>
      <x:c r="O49" s="110" t="str">
        <x:v>未平仓</x:v>
      </x:c>
      <x:c r="P49" s="110" t="str">
        <x:v>仅多；历史探索</x:v>
      </x:c>
    </x:row>
    <x:row r="50" ht="24" customHeight="1">
      <x:c r="B50" s="118" t="str">
        <x:v>EMA25纯52退出</x:v>
      </x:c>
      <x:c r="C50" s="114" t="n">
        <x:v>0.37428699429128814</x:v>
      </x:c>
      <x:c r="D50" s="114" t="n">
        <x:v>0.13029701953298564</x:v>
      </x:c>
      <x:c r="E50" s="114" t="n">
        <x:f>C50-D50</x:f>
        <x:v>0.2439899747583025</x:v>
      </x:c>
      <x:c r="F50" s="114" t="n">
        <x:v>0.25604685073632305</x:v>
      </x:c>
      <x:c r="G50" s="117" t="n">
        <x:v>17</x:v>
      </x:c>
      <x:c r="H50" s="114" t="n">
        <x:v>0.2352941176470588</x:v>
      </x:c>
      <x:c r="I50" s="116" t="n">
        <x:v>1.3003315489338838</x:v>
      </x:c>
      <x:c r="J50" s="114" t="n">
        <x:v>0.29548341005319756</x:v>
      </x:c>
      <x:c r="K50" s="114" t="n">
        <x:v>-0.12217775510552309</x:v>
      </x:c>
      <x:c r="L50" s="114" t="n">
        <x:v>0.2009813393436135</x:v>
      </x:c>
      <x:c r="M50" s="114" t="n">
        <x:v>0.25510204081632654</x:v>
      </x:c>
      <x:c r="N50" s="115" t="n">
        <x:v>351.64461481013996</x:v>
      </x:c>
      <x:c r="O50" s="110" t="str">
        <x:v>未平仓</x:v>
      </x:c>
      <x:c r="P50" s="110" t="str">
        <x:v>仅多；历史探索</x:v>
      </x:c>
    </x:row>
    <x:row r="51" ht="24" customHeight="1">
      <x:c r="B51" s="118" t="str">
        <x:v>状态补入原退出</x:v>
      </x:c>
      <x:c r="C51" s="114" t="n">
        <x:v>0.7942214587236807</x:v>
      </x:c>
      <x:c r="D51" s="114" t="n">
        <x:v>0.5502314839653785</x:v>
      </x:c>
      <x:c r="E51" s="114" t="n">
        <x:f>C51-D51</x:f>
        <x:v>0.2439899747583022</x:v>
      </x:c>
      <x:c r="F51" s="114" t="n">
        <x:v>0.2768665577338688</x:v>
      </x:c>
      <x:c r="G51" s="117" t="n">
        <x:v>20</x:v>
      </x:c>
      <x:c r="H51" s="114" t="n">
        <x:v>0.3</x:v>
      </x:c>
      <x:c r="I51" s="116" t="n">
        <x:v>2.089594591372542</x:v>
      </x:c>
      <x:c r="J51" s="114" t="n">
        <x:v>0.6860029179069198</x:v>
      </x:c>
      <x:c r="K51" s="114" t="n">
        <x:v>-0.11770701778391789</x:v>
      </x:c>
      <x:c r="L51" s="114" t="n">
        <x:v>0.19611586056913666</x:v>
      </x:c>
      <x:c r="M51" s="114" t="n">
        <x:v>0.4357142857142857</x:v>
      </x:c>
      <x:c r="N51" s="115" t="n">
        <x:v>415.9082230627165</x:v>
      </x:c>
      <x:c r="O51" s="110" t="str">
        <x:v>未平仓</x:v>
      </x:c>
      <x:c r="P51" s="110" t="str">
        <x:v>仅多；历史探索</x:v>
      </x:c>
    </x:row>
    <x:row r="52" ht="24" customHeight="1">
      <x:c r="B52" s="118" t="str">
        <x:v>EMA25去4h过滤</x:v>
      </x:c>
      <x:c r="C52" s="114" t="n">
        <x:v>0.5194344542083678</x:v>
      </x:c>
      <x:c r="D52" s="114" t="n">
        <x:v>0.27544447945006556</x:v>
      </x:c>
      <x:c r="E52" s="114" t="n">
        <x:f>C52-D52</x:f>
        <x:v>0.2439899747583022</x:v>
      </x:c>
      <x:c r="F52" s="114" t="n">
        <x:v>0.23535902059947916</x:v>
      </x:c>
      <x:c r="G52" s="117" t="n">
        <x:v>15</x:v>
      </x:c>
      <x:c r="H52" s="114" t="n">
        <x:v>0.33333333333333326</x:v>
      </x:c>
      <x:c r="I52" s="116" t="n">
        <x:v>1.7962698336062968</x:v>
      </x:c>
      <x:c r="J52" s="114" t="n">
        <x:v>0.30173419413690605</x:v>
      </x:c>
      <x:c r="K52" s="114" t="n">
        <x:v>-0.07796904695481588</x:v>
      </x:c>
      <x:c r="L52" s="114" t="n">
        <x:v>0.26585960899473604</x:v>
      </x:c>
      <x:c r="M52" s="114" t="n">
        <x:v>0.326530612244898</x:v>
      </x:c>
      <x:c r="N52" s="115" t="n">
        <x:v>313.05750229679745</x:v>
      </x:c>
      <x:c r="O52" s="110" t="str">
        <x:v>未平仓</x:v>
      </x:c>
      <x:c r="P52" s="110" t="str">
        <x:v>仅多；历史探索</x:v>
      </x:c>
    </x:row>
    <x:row r="53" ht="24" customHeight="1">
      <x:c r="B53" s="118" t="str">
        <x:v>状态补入纯52</x:v>
      </x:c>
      <x:c r="C53" s="114" t="n">
        <x:v>0.6609391608096893</x:v>
      </x:c>
      <x:c r="D53" s="114" t="n">
        <x:v>0.41694918605138725</x:v>
      </x:c>
      <x:c r="E53" s="114" t="n">
        <x:f>C53-D53</x:f>
        <x:v>0.24398997475830203</x:v>
      </x:c>
      <x:c r="F53" s="114" t="n">
        <x:v>0.2658439808334604</x:v>
      </x:c>
      <x:c r="G53" s="117" t="n">
        <x:v>25</x:v>
      </x:c>
      <x:c r="H53" s="114" t="n">
        <x:v>0.24</x:v>
      </x:c>
      <x:c r="I53" s="116" t="n">
        <x:v>1.695862617752156</x:v>
      </x:c>
      <x:c r="J53" s="114" t="n">
        <x:v>0.6901342894095017</x:v>
      </x:c>
      <x:c r="K53" s="114" t="n">
        <x:v>-0.1619157259346251</x:v>
      </x:c>
      <x:c r="L53" s="114" t="n">
        <x:v>0.13272059733481245</x:v>
      </x:c>
      <x:c r="M53" s="114" t="n">
        <x:v>0.38877551020408163</x:v>
      </x:c>
      <x:c r="N53" s="115" t="n">
        <x:v>514.6741660265404</x:v>
      </x:c>
      <x:c r="O53" s="110" t="str">
        <x:v>未平仓</x:v>
      </x:c>
      <x:c r="P53" s="110" t="str">
        <x:v>仅多；历史探索</x:v>
      </x:c>
    </x:row>
    <x:row r="54" ht="24" customHeight="1">
      <x:c r="B54" s="118" t="str">
        <x:v>EMA252ATR下穿</x:v>
      </x:c>
      <x:c r="C54" s="114" t="n">
        <x:v>0.34532591828928605</x:v>
      </x:c>
      <x:c r="D54" s="114" t="n">
        <x:v>0.09829768497328323</x:v>
      </x:c>
      <x:c r="E54" s="114" t="n">
        <x:f>C54-D54</x:f>
        <x:v>0.24702823331600282</x:v>
      </x:c>
      <x:c r="F54" s="114" t="n">
        <x:v>0.29310699701186843</x:v>
      </x:c>
      <x:c r="G54" s="117" t="n">
        <x:v>5</x:v>
      </x:c>
      <x:c r="H54" s="114" t="n">
        <x:v>0.2</x:v>
      </x:c>
      <x:c r="I54" s="116" t="n">
        <x:v>1.3000342174341744</x:v>
      </x:c>
      <x:c r="J54" s="114" t="n">
        <x:v>0.2811092958405279</x:v>
      </x:c>
      <x:c r="K54" s="114" t="n">
        <x:v>-0.11909844488509913</x:v>
      </x:c>
      <x:c r="L54" s="114" t="n">
        <x:v>0.17605531928631968</x:v>
      </x:c>
      <x:c r="M54" s="114" t="n">
        <x:v>0.45816326530612245</x:v>
      </x:c>
      <x:c r="N54" s="115" t="n">
        <x:v>111.08406091064347</x:v>
      </x:c>
      <x:c r="O54" s="110" t="str">
        <x:v>未平仓</x:v>
      </x:c>
      <x:c r="P54" s="110" t="str">
        <x:v>EMA52−2ATR14；非入场价止损</x:v>
      </x:c>
    </x:row>
    <x:row r="55" ht="24" customHeight="1">
      <x:c r="B55" s="118" t="str">
        <x:v>EMA252ATR低于</x:v>
      </x:c>
      <x:c r="C55" s="114" t="n">
        <x:v>0.34532591828928605</x:v>
      </x:c>
      <x:c r="D55" s="114" t="n">
        <x:v>0.09829768497328323</x:v>
      </x:c>
      <x:c r="E55" s="114" t="n">
        <x:f>C55-D55</x:f>
        <x:v>0.24702823331600282</x:v>
      </x:c>
      <x:c r="F55" s="114" t="n">
        <x:v>0.29310699701186843</x:v>
      </x:c>
      <x:c r="G55" s="117" t="n">
        <x:v>5</x:v>
      </x:c>
      <x:c r="H55" s="114" t="n">
        <x:v>0.2</x:v>
      </x:c>
      <x:c r="I55" s="116" t="n">
        <x:v>1.3000342174341744</x:v>
      </x:c>
      <x:c r="J55" s="114" t="n">
        <x:v>0.2811092958405279</x:v>
      </x:c>
      <x:c r="K55" s="114" t="n">
        <x:v>-0.11909844488509913</x:v>
      </x:c>
      <x:c r="L55" s="114" t="n">
        <x:v>0.17605531928631968</x:v>
      </x:c>
      <x:c r="M55" s="114" t="n">
        <x:v>0.45816326530612245</x:v>
      </x:c>
      <x:c r="N55" s="115" t="n">
        <x:v>111.08406091064347</x:v>
      </x:c>
      <x:c r="O55" s="110" t="str">
        <x:v>未平仓</x:v>
      </x:c>
      <x:c r="P55" s="110" t="str">
        <x:v>EMA52−2ATR14；非入场价止损</x:v>
      </x:c>
    </x:row>
    <x:row r="56" ht="24" customHeight="1">
      <x:c r="B56" s="118" t="str">
        <x:v>状态补入2ATR下穿</x:v>
      </x:c>
      <x:c r="C56" s="114" t="n">
        <x:v>0.6587992750533496</x:v>
      </x:c>
      <x:c r="D56" s="114" t="n">
        <x:v>0.4526707076707715</x:v>
      </x:c>
      <x:c r="E56" s="114" t="n">
        <x:f>C56-D56</x:f>
        <x:v>0.20612856738257807</x:v>
      </x:c>
      <x:c r="F56" s="114" t="n">
        <x:v>0.28024178038394854</x:v>
      </x:c>
      <x:c r="G56" s="117" t="n">
        <x:v>7</x:v>
      </x:c>
      <x:c r="H56" s="114" t="n">
        <x:v>0.2857142857142857</x:v>
      </x:c>
      <x:c r="I56" s="116" t="n">
        <x:v>2.524724047356537</x:v>
      </x:c>
      <x:c r="J56" s="114" t="n">
        <x:v>0.7081537509113593</x:v>
      </x:c>
      <x:c r="K56" s="114" t="n">
        <x:v>-0.11909844488509913</x:v>
      </x:c>
      <x:c r="L56" s="114" t="n">
        <x:v>0.060599324114900543</x:v>
      </x:c>
      <x:c r="M56" s="114" t="n">
        <x:v>0.6</x:v>
      </x:c>
      <x:c r="N56" s="115" t="n">
        <x:v>154.67137845516288</x:v>
      </x:c>
      <x:c r="O56" s="110" t="str">
        <x:v>未平仓</x:v>
      </x:c>
      <x:c r="P56" s="110" t="str">
        <x:v>EMA52−2ATR14；非入场价止损</x:v>
      </x:c>
    </x:row>
    <x:row r="57" ht="24" customHeight="1">
      <x:c r="B57" s="118" t="str">
        <x:v>状态补入2ATR低于</x:v>
      </x:c>
      <x:c r="C57" s="114" t="n">
        <x:v>0.6587992750533496</x:v>
      </x:c>
      <x:c r="D57" s="114" t="n">
        <x:v>0.4526707076707715</x:v>
      </x:c>
      <x:c r="E57" s="114" t="n">
        <x:f>C57-D57</x:f>
        <x:v>0.20612856738257807</x:v>
      </x:c>
      <x:c r="F57" s="114" t="n">
        <x:v>0.28024178038394854</x:v>
      </x:c>
      <x:c r="G57" s="117" t="n">
        <x:v>7</x:v>
      </x:c>
      <x:c r="H57" s="114" t="n">
        <x:v>0.2857142857142857</x:v>
      </x:c>
      <x:c r="I57" s="116" t="n">
        <x:v>2.524724047356537</x:v>
      </x:c>
      <x:c r="J57" s="114" t="n">
        <x:v>0.7081537509113593</x:v>
      </x:c>
      <x:c r="K57" s="114" t="n">
        <x:v>-0.11909844488509913</x:v>
      </x:c>
      <x:c r="L57" s="114" t="n">
        <x:v>0.060599324114900543</x:v>
      </x:c>
      <x:c r="M57" s="114" t="n">
        <x:v>0.6</x:v>
      </x:c>
      <x:c r="N57" s="115" t="n">
        <x:v>154.67137845516288</x:v>
      </x:c>
      <x:c r="O57" s="110" t="str">
        <x:v>未平仓</x:v>
      </x:c>
      <x:c r="P57" s="110" t="str">
        <x:v>EMA52−2ATR14；非入场价止损</x:v>
      </x:c>
    </x:row>
    <x:row r="58" ht="24" customHeight="1">
      <x:c r="B58" s="118" t="str">
        <x:v>EMA25 ADX14 &gt;= 20</x:v>
      </x:c>
      <x:c r="C58" s="114" t="n">
        <x:v>-0.3244162553068028</x:v>
      </x:c>
      <x:c r="D58" s="114" t="n">
        <x:v>-0.3244162553068028</x:v>
      </x:c>
      <x:c r="E58" s="114" t="n">
        <x:f>C58-D58</x:f>
        <x:v>0</x:v>
      </x:c>
      <x:c r="F58" s="114" t="n">
        <x:v>0.3607718631223644</x:v>
      </x:c>
      <x:c r="G58" s="117" t="n">
        <x:v>9</x:v>
      </x:c>
      <x:c r="H58" s="114" t="n">
        <x:v>0.1111111111111111</x:v>
      </x:c>
      <x:c r="I58" s="116" t="n">
        <x:v>0.004243537912260862</x:v>
      </x:c>
      <x:c r="J58" s="114" t="n">
        <x:v>-0.2460893636955378</x:v>
      </x:c>
      <x:c r="K58" s="114" t="n">
        <x:v>-0.07326502956584624</x:v>
      </x:c>
      <x:c r="L58" s="114" t="n">
        <x:v>-0.041405343568829626</x:v>
      </x:c>
      <x:c r="M58" s="114" t="n">
        <x:v>0.07755102040816327</x:v>
      </x:c>
      <x:c r="N58" s="115" t="n">
        <x:v>176.93277021714914</x:v>
      </x:c>
      <x:c r="O58" s="110" t="str">
        <x:v>空仓</x:v>
      </x:c>
      <x:c r="P58" s="110" t="str">
        <x:v>仅过滤多单入场；退出52−300</x:v>
      </x:c>
    </x:row>
    <x:row r="59" ht="24" customHeight="1">
      <x:c r="B59" s="118" t="str">
        <x:v>EMA25 ADX14 &gt;= 25</x:v>
      </x:c>
      <x:c r="C59" s="114" t="n">
        <x:v>-0.1491522237749241</x:v>
      </x:c>
      <x:c r="D59" s="114" t="n">
        <x:v>-0.149152223774924</x:v>
      </x:c>
      <x:c r="E59" s="114" t="n">
        <x:f>C59-D59</x:f>
        <x:v>-1.1102230246251565e-16</x:v>
      </x:c>
      <x:c r="F59" s="114" t="n">
        <x:v>0.19790462496817254</x:v>
      </x:c>
      <x:c r="G59" s="117" t="n">
        <x:v>3</x:v>
      </x:c>
      <x:c r="H59" s="114" t="n">
        <x:v>0</x:v>
      </x:c>
      <x:c r="I59" s="116" t="n">
        <x:v>0</x:v>
      </x:c>
      <x:c r="J59" s="114" t="n">
        <x:v>-0.11223067573248846</x:v>
      </x:c>
      <x:c r="K59" s="114" t="n">
        <x:v>-0.025609750011186372</x:v>
      </x:c>
      <x:c r="L59" s="114" t="n">
        <x:v>0</x:v>
      </x:c>
      <x:c r="M59" s="114" t="n">
        <x:v>0.06224489795918367</x:v>
      </x:c>
      <x:c r="N59" s="115" t="n">
        <x:v>58.567044807057826</x:v>
      </x:c>
      <x:c r="O59" s="110" t="str">
        <x:v>空仓</x:v>
      </x:c>
      <x:c r="P59" s="110" t="str">
        <x:v>仅过滤多单入场；退出52−300</x:v>
      </x:c>
    </x:row>
    <x:row r="60" ht="24" customHeight="1">
      <x:c r="B60" s="118" t="str">
        <x:v>EMA25 ER20 &gt;= 0.2</x:v>
      </x:c>
      <x:c r="C60" s="114" t="n">
        <x:v>-0.060937833051432744</x:v>
      </x:c>
      <x:c r="D60" s="114" t="n">
        <x:v>-0.0609378330514328</x:v>
      </x:c>
      <x:c r="E60" s="114" t="n">
        <x:f>C60-D60</x:f>
        <x:v>5.551115123125783e-17</x:v>
      </x:c>
      <x:c r="F60" s="114" t="n">
        <x:v>0.060937833051432785</x:v>
      </x:c>
      <x:c r="G60" s="117" t="n">
        <x:v>1</x:v>
      </x:c>
      <x:c r="H60" s="114" t="n">
        <x:v>0</x:v>
      </x:c>
      <x:c r="I60" s="116" t="n">
        <x:v>0</x:v>
      </x:c>
      <x:c r="J60" s="114" t="n">
        <x:v>-0.060937833051432744</x:v>
      </x:c>
      <x:c r="K60" s="114" t="n">
        <x:v>0</x:v>
      </x:c>
      <x:c r="L60" s="114" t="n">
        <x:v>0</x:v>
      </x:c>
      <x:c r="M60" s="114" t="n">
        <x:v>0.0010204081632653062</x:v>
      </x:c>
      <x:c r="N60" s="115" t="n">
        <x:v>19.41003170118686</x:v>
      </x:c>
      <x:c r="O60" s="110" t="str">
        <x:v>空仓</x:v>
      </x:c>
      <x:c r="P60" s="110" t="str">
        <x:v>仅过滤多单入场；退出52−300</x:v>
      </x:c>
    </x:row>
    <x:row r="61" ht="24" customHeight="1">
      <x:c r="B61" s="118" t="str">
        <x:v>EMA25 ER20 &gt;= 0.3</x:v>
      </x:c>
      <x:c r="C61" s="114" t="n">
        <x:v>-0.060937833051432744</x:v>
      </x:c>
      <x:c r="D61" s="114" t="n">
        <x:v>-0.0609378330514328</x:v>
      </x:c>
      <x:c r="E61" s="114" t="n">
        <x:f>C61-D61</x:f>
        <x:v>5.551115123125783e-17</x:v>
      </x:c>
      <x:c r="F61" s="114" t="n">
        <x:v>0.060937833051432785</x:v>
      </x:c>
      <x:c r="G61" s="117" t="n">
        <x:v>1</x:v>
      </x:c>
      <x:c r="H61" s="114" t="n">
        <x:v>0</x:v>
      </x:c>
      <x:c r="I61" s="116" t="n">
        <x:v>0</x:v>
      </x:c>
      <x:c r="J61" s="114" t="n">
        <x:v>-0.060937833051432744</x:v>
      </x:c>
      <x:c r="K61" s="114" t="n">
        <x:v>0</x:v>
      </x:c>
      <x:c r="L61" s="114" t="n">
        <x:v>0</x:v>
      </x:c>
      <x:c r="M61" s="114" t="n">
        <x:v>0.0010204081632653062</x:v>
      </x:c>
      <x:c r="N61" s="115" t="n">
        <x:v>19.41003170118686</x:v>
      </x:c>
      <x:c r="O61" s="110" t="str">
        <x:v>空仓</x:v>
      </x:c>
      <x:c r="P61" s="110" t="str">
        <x:v>仅过滤多单入场；退出52−300</x:v>
      </x:c>
    </x:row>
    <x:row r="62" ht="24" customHeight="1">
      <x:c r="B62" s="118" t="str">
        <x:v>EMA25 EMA52五日升幅/ATR14 &gt;= 0.1</x:v>
      </x:c>
      <x:c r="C62" s="114" t="n">
        <x:v>-0.2123155157501514</x:v>
      </x:c>
      <x:c r="D62" s="114" t="n">
        <x:v>-0.21231551575015142</x:v>
      </x:c>
      <x:c r="E62" s="114" t="n">
        <x:f>C62-D62</x:f>
        <x:v>2.7755575615628914e-17</x:v>
      </x:c>
      <x:c r="F62" s="114" t="n">
        <x:v>0.2947749318008522</x:v>
      </x:c>
      <x:c r="G62" s="117" t="n">
        <x:v>6</x:v>
      </x:c>
      <x:c r="H62" s="114" t="n">
        <x:v>0.16666666666666663</x:v>
      </x:c>
      <x:c r="I62" s="116" t="n">
        <x:v>0.14126130124306208</x:v>
      </x:c>
      <x:c r="J62" s="114" t="n">
        <x:v>-0.1731685087839212</x:v>
      </x:c>
      <x:c r="K62" s="114" t="n">
        <x:v>-0.027835208934981037</x:v>
      </x:c>
      <x:c r="L62" s="114" t="n">
        <x:v>0</x:v>
      </x:c>
      <x:c r="M62" s="114" t="n">
        <x:v>0.11326530612244898</x:v>
      </x:c>
      <x:c r="N62" s="115" t="n">
        <x:v>117.99483968218067</x:v>
      </x:c>
      <x:c r="O62" s="110" t="str">
        <x:v>空仓</x:v>
      </x:c>
      <x:c r="P62" s="110" t="str">
        <x:v>仅过滤多单入场；退出52−300</x:v>
      </x:c>
    </x:row>
    <x:row r="63" ht="24" customHeight="1">
      <x:c r="B63" s="118" t="str">
        <x:v>EMA25 EMA52五日升幅/ATR14 &gt;= 0.2</x:v>
      </x:c>
      <x:c r="C63" s="114" t="n">
        <x:v>-0.11422662175841669</x:v>
      </x:c>
      <x:c r="D63" s="114" t="n">
        <x:v>-0.11422662175841661</x:v>
      </x:c>
      <x:c r="E63" s="114" t="n">
        <x:f>C63-D63</x:f>
        <x:v>-8.326672684688674e-17</x:v>
      </x:c>
      <x:c r="F63" s="114" t="n">
        <x:v>0.20177423634783473</x:v>
      </x:c>
      <x:c r="G63" s="117" t="n">
        <x:v>4</x:v>
      </x:c>
      <x:c r="H63" s="114" t="n">
        <x:v>0.25</x:v>
      </x:c>
      <x:c r="I63" s="116" t="n">
        <x:v>0.2341607864272366</x:v>
      </x:c>
      <x:c r="J63" s="114" t="n">
        <x:v>-0.11223067573248846</x:v>
      </x:c>
      <x:c r="K63" s="114" t="n">
        <x:v>0.009315852005320924</x:v>
      </x:c>
      <x:c r="L63" s="114" t="n">
        <x:v>0</x:v>
      </x:c>
      <x:c r="M63" s="114" t="n">
        <x:v>0.11122448979591837</x:v>
      </x:c>
      <x:c r="N63" s="115" t="n">
        <x:v>78.93667045286871</x:v>
      </x:c>
      <x:c r="O63" s="110" t="str">
        <x:v>空仓</x:v>
      </x:c>
      <x:c r="P63" s="110" t="str">
        <x:v>仅过滤多单入场；退出52−300</x:v>
      </x:c>
    </x:row>
    <x:row r="64" ht="24" customHeight="1">
      <x:c r="B64" s="118" t="str">
        <x:v>EMA25 (EMA25-EMA52)/ATR14 &gt;= 0.25</x:v>
      </x:c>
      <x:c r="C64" s="114" t="n">
        <x:v>-0.2113406858727992</x:v>
      </x:c>
      <x:c r="D64" s="114" t="n">
        <x:v>-0.21134068587279914</x:v>
      </x:c>
      <x:c r="E64" s="114" t="n">
        <x:f>C64-D64</x:f>
        <x:v>-5.551115123125783e-17</x:v>
      </x:c>
      <x:c r="F64" s="114" t="n">
        <x:v>0.29298313129339815</x:v>
      </x:c>
      <x:c r="G64" s="117" t="n">
        <x:v>9</x:v>
      </x:c>
      <x:c r="H64" s="114" t="n">
        <x:v>0.2222222222222222</x:v>
      </x:c>
      <x:c r="I64" s="116" t="n">
        <x:v>0.2728265391380679</x:v>
      </x:c>
      <x:c r="J64" s="114" t="n">
        <x:v>-0.18515153064410494</x:v>
      </x:c>
      <x:c r="K64" s="114" t="n">
        <x:v>-0.06253263675210496</x:v>
      </x:c>
      <x:c r="L64" s="114" t="n">
        <x:v>0</x:v>
      </x:c>
      <x:c r="M64" s="114" t="n">
        <x:v>0.1520408163265306</x:v>
      </x:c>
      <x:c r="N64" s="115" t="n">
        <x:v>178.06465779907109</x:v>
      </x:c>
      <x:c r="O64" s="110" t="str">
        <x:v>空仓</x:v>
      </x:c>
      <x:c r="P64" s="110" t="str">
        <x:v>仅过滤多单入场；退出52−300</x:v>
      </x:c>
    </x:row>
    <x:row r="65" ht="24" customHeight="1">
      <x:c r="B65" s="118" t="str">
        <x:v>EMA25 (EMA25-EMA52)/ATR14 &gt;= 0.5</x:v>
      </x:c>
      <x:c r="C65" s="114" t="n">
        <x:v>-0.1384198309611827</x:v>
      </x:c>
      <x:c r="D65" s="114" t="n">
        <x:v>-0.13841983096118257</x:v>
      </x:c>
      <x:c r="E65" s="114" t="n">
        <x:f>C65-D65</x:f>
        <x:v>-1.3877787807814457e-16</x:v>
      </x:c>
      <x:c r="F65" s="114" t="n">
        <x:v>0.2238449246746104</x:v>
      </x:c>
      <x:c r="G65" s="117" t="n">
        <x:v>7</x:v>
      </x:c>
      <x:c r="H65" s="114" t="n">
        <x:v>0.2857142857142857</x:v>
      </x:c>
      <x:c r="I65" s="116" t="n">
        <x:v>0.3642074505542197</x:v>
      </x:c>
      <x:c r="J65" s="114" t="n">
        <x:v>-0.11223067573248846</x:v>
      </x:c>
      <x:c r="K65" s="114" t="n">
        <x:v>-0.06253263675210496</x:v>
      </x:c>
      <x:c r="L65" s="114" t="n">
        <x:v>0</x:v>
      </x:c>
      <x:c r="M65" s="114" t="n">
        <x:v>0.14285714285714285</x:v>
      </x:c>
      <x:c r="N65" s="115" t="n">
        <x:v>138.75455624663482</x:v>
      </x:c>
      <x:c r="O65" s="110" t="str">
        <x:v>空仓</x:v>
      </x:c>
      <x:c r="P65" s="110" t="str">
        <x:v>仅过滤多单入场；退出52−300</x:v>
      </x:c>
    </x:row>
    <x:row r="66" ht="24" customHeight="1">
      <x:c r="B66" s="118" t="str">
        <x:v>EMA25 ADX &gt;= 20 且斜率 &gt;= 0.1</x:v>
      </x:c>
      <x:c r="C66" s="114" t="n">
        <x:v>-0.21009005682635684</x:v>
      </x:c>
      <x:c r="D66" s="114" t="n">
        <x:v>-0.21009005682635679</x:v>
      </x:c>
      <x:c r="E66" s="114" t="n">
        <x:f>C66-D66</x:f>
        <x:v>-5.551115123125783e-17</x:v>
      </x:c>
      <x:c r="F66" s="114" t="n">
        <x:v>0.25568140909279174</x:v>
      </x:c>
      <x:c r="G66" s="117" t="n">
        <x:v>4</x:v>
      </x:c>
      <x:c r="H66" s="114" t="n">
        <x:v>0</x:v>
      </x:c>
      <x:c r="I66" s="116" t="n">
        <x:v>0</x:v>
      </x:c>
      <x:c r="J66" s="114" t="n">
        <x:v>-0.1731685087839212</x:v>
      </x:c>
      <x:c r="K66" s="114" t="n">
        <x:v>-0.025609750011186372</x:v>
      </x:c>
      <x:c r="L66" s="114" t="n">
        <x:v>0</x:v>
      </x:c>
      <x:c r="M66" s="114" t="n">
        <x:v>0.06326530612244897</x:v>
      </x:c>
      <x:c r="N66" s="115" t="n">
        <x:v>77.97707650824468</x:v>
      </x:c>
      <x:c r="O66" s="110" t="str">
        <x:v>空仓</x:v>
      </x:c>
      <x:c r="P66" s="110" t="str">
        <x:v>仅过滤多单入场；退出52−300</x:v>
      </x:c>
    </x:row>
    <x:row r="67" ht="24" customHeight="1">
      <x:c r="B67" s="118" t="str">
        <x:v>EMA25 排除ER20&lt;0.2且EMA52绝对斜率&lt;0.1</x:v>
      </x:c>
      <x:c r="C67" s="114" t="n">
        <x:v>0.08089556614839477</x:v>
      </x:c>
      <x:c r="D67" s="114" t="n">
        <x:v>-0.16309440860990776</x:v>
      </x:c>
      <x:c r="E67" s="114" t="n">
        <x:f>C67-D67</x:f>
        <x:v>0.24398997475830253</x:v>
      </x:c>
      <x:c r="F67" s="114" t="n">
        <x:v>0.3342196585825187</x:v>
      </x:c>
      <x:c r="G67" s="117" t="n">
        <x:v>9</x:v>
      </x:c>
      <x:c r="H67" s="114" t="n">
        <x:v>0.33333333333333326</x:v>
      </x:c>
      <x:c r="I67" s="116" t="n">
        <x:v>0.3791078746982658</x:v>
      </x:c>
      <x:c r="J67" s="114" t="n">
        <x:v>-0.1731685087839212</x:v>
      </x:c>
      <x:c r="K67" s="114" t="n">
        <x:v>-0.04327161913769196</x:v>
      </x:c>
      <x:c r="L67" s="114" t="n">
        <x:v>0.3086474921012572</x:v>
      </x:c>
      <x:c r="M67" s="114" t="n">
        <x:v>0.20816326530612245</x:v>
      </x:c>
      <x:c r="N67" s="115" t="n">
        <x:v>188.54760351741834</x:v>
      </x:c>
      <x:c r="O67" s="110" t="str">
        <x:v>未平仓</x:v>
      </x:c>
      <x:c r="P67" s="110" t="str">
        <x:v>仅过滤多单入场；退出52−300</x:v>
      </x:c>
    </x:row>
    <x:row r="68" ht="24" customHeight="1">
      <x:c r="B68" s="118" t="str">
        <x:v>EMA25 排除ER20&lt;0.2且EMA52绝对斜率&lt;0.2</x:v>
      </x:c>
      <x:c r="C68" s="114" t="n">
        <x:v>-0.12732588720729732</x:v>
      </x:c>
      <x:c r="D68" s="114" t="n">
        <x:v>-0.12732588720729726</x:v>
      </x:c>
      <x:c r="E68" s="114" t="n">
        <x:f>C68-D68</x:f>
        <x:v>-5.551115123125783e-17</x:v>
      </x:c>
      <x:c r="F68" s="114" t="n">
        <x:v>0.2989957472541206</x:v>
      </x:c>
      <x:c r="G68" s="117" t="n">
        <x:v>7</x:v>
      </x:c>
      <x:c r="H68" s="114" t="n">
        <x:v>0.2857142857142857</x:v>
      </x:c>
      <x:c r="I68" s="116" t="n">
        <x:v>0.4354281832877451</x:v>
      </x:c>
      <x:c r="J68" s="114" t="n">
        <x:v>-0.1731685087839212</x:v>
      </x:c>
      <x:c r="K68" s="114" t="n">
        <x:v>-0.006120558197389991</x:v>
      </x:c>
      <x:c r="L68" s="114" t="n">
        <x:v>0.06327497780526325</x:v>
      </x:c>
      <x:c r="M68" s="114" t="n">
        <x:v>0.1846938775510204</x:v>
      </x:c>
      <x:c r="N68" s="115" t="n">
        <x:v>138.8656067346617</x:v>
      </x:c>
      <x:c r="O68" s="110" t="str">
        <x:v>空仓</x:v>
      </x:c>
      <x:c r="P68" s="110" t="str">
        <x:v>仅过滤多单入场；退出52−300</x:v>
      </x:c>
    </x:row>
    <x:row r="69" ht="24" customHeight="1">
      <x:c r="B69" s="118" t="str">
        <x:v>补入 ADX14 &gt;= 20</x:v>
      </x:c>
      <x:c r="C69" s="114" t="n">
        <x:v>-0.3996334978182842</x:v>
      </x:c>
      <x:c r="D69" s="114" t="n">
        <x:v>-0.3996334978182842</x:v>
      </x:c>
      <x:c r="E69" s="114" t="n">
        <x:f>C69-D69</x:f>
        <x:v>0</x:v>
      </x:c>
      <x:c r="F69" s="114" t="n">
        <x:v>0.48103582150849183</x:v>
      </x:c>
      <x:c r="G69" s="117" t="n">
        <x:v>13</x:v>
      </x:c>
      <x:c r="H69" s="114" t="n">
        <x:v>0.15384615384615385</x:v>
      </x:c>
      <x:c r="I69" s="116" t="n">
        <x:v>0.12973813808760232</x:v>
      </x:c>
      <x:c r="J69" s="114" t="n">
        <x:v>-0.3148378355866831</x:v>
      </x:c>
      <x:c r="K69" s="114" t="n">
        <x:v>-0.07326502956584624</x:v>
      </x:c>
      <x:c r="L69" s="114" t="n">
        <x:v>-0.04787411418916577</x:v>
      </x:c>
      <x:c r="M69" s="114" t="n">
        <x:v>0.19183673469387755</x:v>
      </x:c>
      <x:c r="N69" s="115" t="n">
        <x:v>256.25992494676393</x:v>
      </x:c>
      <x:c r="O69" s="110" t="str">
        <x:v>空仓</x:v>
      </x:c>
      <x:c r="P69" s="110" t="str">
        <x:v>仅过滤多单入场；退出52−300</x:v>
      </x:c>
    </x:row>
    <x:row r="70" ht="24" customHeight="1">
      <x:c r="B70" s="118" t="str">
        <x:v>补入 ADX14 &gt;= 25</x:v>
      </x:c>
      <x:c r="C70" s="114" t="n">
        <x:v>-0.1601928644511429</x:v>
      </x:c>
      <x:c r="D70" s="114" t="n">
        <x:v>-0.16019286445114292</x:v>
      </x:c>
      <x:c r="E70" s="114" t="n">
        <x:f>C70-D70</x:f>
        <x:v>2.7755575615628914e-17</x:v>
      </x:c>
      <x:c r="F70" s="114" t="n">
        <x:v>0.3295544196736501</x:v>
      </x:c>
      <x:c r="G70" s="117" t="n">
        <x:v>5</x:v>
      </x:c>
      <x:c r="H70" s="114" t="n">
        <x:v>0.2</x:v>
      </x:c>
      <x:c r="I70" s="116" t="n">
        <x:v>0.266474061154075</x:v>
      </x:c>
      <x:c r="J70" s="114" t="n">
        <x:v>-0.18146590898897952</x:v>
      </x:c>
      <x:c r="K70" s="114" t="n">
        <x:v>-0.025609750011186372</x:v>
      </x:c>
      <x:c r="L70" s="114" t="n">
        <x:v>0.058194592580272264</x:v>
      </x:c>
      <x:c r="M70" s="114" t="n">
        <x:v>0.13877551020408163</x:v>
      </x:c>
      <x:c r="N70" s="115" t="n">
        <x:v>98.49656792341199</x:v>
      </x:c>
      <x:c r="O70" s="110" t="str">
        <x:v>空仓</x:v>
      </x:c>
      <x:c r="P70" s="110" t="str">
        <x:v>仅过滤多单入场；退出52−300</x:v>
      </x:c>
    </x:row>
    <x:row r="71" ht="24" customHeight="1">
      <x:c r="B71" s="118" t="str">
        <x:v>补入 ER20 &gt;= 0.2</x:v>
      </x:c>
      <x:c r="C71" s="114" t="n">
        <x:v>0.21780309620198365</x:v>
      </x:c>
      <x:c r="D71" s="114" t="n">
        <x:v>0.21780309620198376</x:v>
      </x:c>
      <x:c r="E71" s="114" t="n">
        <x:f>C71-D71</x:f>
        <x:v>-1.1102230246251565e-16</x:v>
      </x:c>
      <x:c r="F71" s="114" t="n">
        <x:v>0.2764628239865172</x:v>
      </x:c>
      <x:c r="G71" s="117" t="n">
        <x:v>7</x:v>
      </x:c>
      <x:c r="H71" s="114" t="n">
        <x:v>0.2857142857142857</x:v>
      </x:c>
      <x:c r="I71" s="116" t="n">
        <x:v>1.859946460111919</x:v>
      </x:c>
      <x:c r="J71" s="114" t="n">
        <x:v>0.2636651389428355</x:v>
      </x:c>
      <x:c r="K71" s="114" t="n">
        <x:v>-0.03973797082910202</x:v>
      </x:c>
      <x:c r="L71" s="114" t="n">
        <x:v>-0.0061240719117496845</x:v>
      </x:c>
      <x:c r="M71" s="114" t="n">
        <x:v>0.16020408163265304</x:v>
      </x:c>
      <x:c r="N71" s="115" t="n">
        <x:v>142.3203513133332</x:v>
      </x:c>
      <x:c r="O71" s="110" t="str">
        <x:v>空仓</x:v>
      </x:c>
      <x:c r="P71" s="110" t="str">
        <x:v>仅过滤多单入场；退出52−300</x:v>
      </x:c>
    </x:row>
    <x:row r="72" ht="24" customHeight="1">
      <x:c r="B72" s="118" t="str">
        <x:v>补入 ER20 &gt;= 0.3</x:v>
      </x:c>
      <x:c r="C72" s="114" t="n">
        <x:v>0.1545153104263699</x:v>
      </x:c>
      <x:c r="D72" s="114" t="n">
        <x:v>0.15451531042636976</x:v>
      </x:c>
      <x:c r="E72" s="114" t="n">
        <x:f>C72-D72</x:f>
        <x:v>1.3877787807814457e-16</x:v>
      </x:c>
      <x:c r="F72" s="114" t="n">
        <x:v>0.2548399923354952</x:v>
      </x:c>
      <x:c r="G72" s="117" t="n">
        <x:v>5</x:v>
      </x:c>
      <x:c r="H72" s="114" t="n">
        <x:v>0.2</x:v>
      </x:c>
      <x:c r="I72" s="116" t="n">
        <x:v>1.77492844644358</x:v>
      </x:c>
      <x:c r="J72" s="114" t="n">
        <x:v>0.23251940917903702</x:v>
      </x:c>
      <x:c r="K72" s="114" t="n">
        <x:v>-0.03973797082910202</x:v>
      </x:c>
      <x:c r="L72" s="114" t="n">
        <x:v>-0.03826612792356521</x:v>
      </x:c>
      <x:c r="M72" s="114" t="n">
        <x:v>0.0979591836734694</x:v>
      </x:c>
      <x:c r="N72" s="115" t="n">
        <x:v>101.64679990416788</x:v>
      </x:c>
      <x:c r="O72" s="110" t="str">
        <x:v>空仓</x:v>
      </x:c>
      <x:c r="P72" s="110" t="str">
        <x:v>仅过滤多单入场；退出52−300</x:v>
      </x:c>
    </x:row>
    <x:row r="73" ht="24" customHeight="1">
      <x:c r="B73" s="118" t="str">
        <x:v>补入 EMA52五日升幅/ATR14 &gt;= 0.1</x:v>
      </x:c>
      <x:c r="C73" s="114" t="n">
        <x:v>0.16435729320257586</x:v>
      </x:c>
      <x:c r="D73" s="114" t="n">
        <x:v>0.1643572932025762</x:v>
      </x:c>
      <x:c r="E73" s="114" t="n">
        <x:f>C73-D73</x:f>
        <x:v>-3.3306690738754696e-16</x:v>
      </x:c>
      <x:c r="F73" s="114" t="n">
        <x:v>0.33215905129124074</x:v>
      </x:c>
      <x:c r="G73" s="117" t="n">
        <x:v>10</x:v>
      </x:c>
      <x:c r="H73" s="114" t="n">
        <x:v>0.3</x:v>
      </x:c>
      <x:c r="I73" s="116" t="n">
        <x:v>1.4810740087711463</x:v>
      </x:c>
      <x:c r="J73" s="114" t="n">
        <x:v>0.21110021498609277</x:v>
      </x:c>
      <x:c r="K73" s="114" t="n">
        <x:v>-0.06757317976408306</x:v>
      </x:c>
      <x:c r="L73" s="114" t="n">
        <x:v>0.03214205601181552</x:v>
      </x:c>
      <x:c r="M73" s="114" t="n">
        <x:v>0.24489795918367346</x:v>
      </x:c>
      <x:c r="N73" s="115" t="n">
        <x:v>201.84541835037612</x:v>
      </x:c>
      <x:c r="O73" s="110" t="str">
        <x:v>空仓</x:v>
      </x:c>
      <x:c r="P73" s="110" t="str">
        <x:v>仅过滤多单入场；退出52−300</x:v>
      </x:c>
    </x:row>
    <x:row r="74" ht="24" customHeight="1">
      <x:c r="B74" s="118" t="str">
        <x:v>补入 EMA52五日升幅/ATR14 &gt;= 0.2</x:v>
      </x:c>
      <x:c r="C74" s="114" t="n">
        <x:v>0.08433838984944832</x:v>
      </x:c>
      <x:c r="D74" s="114" t="n">
        <x:v>0.08433838984944836</x:v>
      </x:c>
      <x:c r="E74" s="114" t="n">
        <x:f>C74-D74</x:f>
        <x:v>-4.163336342344337e-17</x:v>
      </x:c>
      <x:c r="F74" s="114" t="n">
        <x:v>0.30280488499016445</x:v>
      </x:c>
      <x:c r="G74" s="117" t="n">
        <x:v>8</x:v>
      </x:c>
      <x:c r="H74" s="114" t="n">
        <x:v>0.25</x:v>
      </x:c>
      <x:c r="I74" s="116" t="n">
        <x:v>1.2769774352162033</x:v>
      </x:c>
      <x:c r="J74" s="114" t="n">
        <x:v>0.12607230670447866</x:v>
      </x:c>
      <x:c r="K74" s="114" t="n">
        <x:v>-0.030422118823781097</x:v>
      </x:c>
      <x:c r="L74" s="114" t="n">
        <x:v>0</x:v>
      </x:c>
      <x:c r="M74" s="114" t="n">
        <x:v>0.2</x:v>
      </x:c>
      <x:c r="N74" s="115" t="n">
        <x:v>161.00438828678125</x:v>
      </x:c>
      <x:c r="O74" s="110" t="str">
        <x:v>空仓</x:v>
      </x:c>
      <x:c r="P74" s="110" t="str">
        <x:v>仅过滤多单入场；退出52−300</x:v>
      </x:c>
    </x:row>
    <x:row r="75" ht="24" customHeight="1">
      <x:c r="B75" s="118" t="str">
        <x:v>补入 (EMA25-EMA52)/ATR14 &gt;= 0.25</x:v>
      </x:c>
      <x:c r="C75" s="114" t="n">
        <x:v>0.22681021641503052</x:v>
      </x:c>
      <x:c r="D75" s="114" t="n">
        <x:v>0.2268102164150308</x:v>
      </x:c>
      <x:c r="E75" s="114" t="n">
        <x:f>C75-D75</x:f>
        <x:v>-2.7755575615628914e-16</x:v>
      </x:c>
      <x:c r="F75" s="114" t="n">
        <x:v>0.28105363319268833</x:v>
      </x:c>
      <x:c r="G75" s="117" t="n">
        <x:v>10</x:v>
      </x:c>
      <x:c r="H75" s="114" t="n">
        <x:v>0.3</x:v>
      </x:c>
      <x:c r="I75" s="116" t="n">
        <x:v>1.7782974294077079</x:v>
      </x:c>
      <x:c r="J75" s="114" t="n">
        <x:v>0.2529993716437249</x:v>
      </x:c>
      <x:c r="K75" s="114" t="n">
        <x:v>-0.06253263675210496</x:v>
      </x:c>
      <x:c r="L75" s="114" t="n">
        <x:v>0</x:v>
      </x:c>
      <x:c r="M75" s="114" t="n">
        <x:v>0.2193877551020408</x:v>
      </x:c>
      <x:c r="N75" s="115" t="n">
        <x:v>202.47057273688722</x:v>
      </x:c>
      <x:c r="O75" s="110" t="str">
        <x:v>空仓</x:v>
      </x:c>
      <x:c r="P75" s="110" t="str">
        <x:v>仅过滤多单入场；退出52−300</x:v>
      </x:c>
    </x:row>
    <x:row r="76" ht="24" customHeight="1">
      <x:c r="B76" s="118" t="str">
        <x:v>补入 (EMA25-EMA52)/ATR14 &gt;= 0.5</x:v>
      </x:c>
      <x:c r="C76" s="114" t="n">
        <x:v>-0.1384198309611827</x:v>
      </x:c>
      <x:c r="D76" s="114" t="n">
        <x:v>-0.13841983096118257</x:v>
      </x:c>
      <x:c r="E76" s="114" t="n">
        <x:f>C76-D76</x:f>
        <x:v>-1.3877787807814457e-16</x:v>
      </x:c>
      <x:c r="F76" s="114" t="n">
        <x:v>0.2238449246746104</x:v>
      </x:c>
      <x:c r="G76" s="117" t="n">
        <x:v>7</x:v>
      </x:c>
      <x:c r="H76" s="114" t="n">
        <x:v>0.2857142857142857</x:v>
      </x:c>
      <x:c r="I76" s="116" t="n">
        <x:v>0.3642074505542197</x:v>
      </x:c>
      <x:c r="J76" s="114" t="n">
        <x:v>-0.11223067573248846</x:v>
      </x:c>
      <x:c r="K76" s="114" t="n">
        <x:v>-0.06253263675210496</x:v>
      </x:c>
      <x:c r="L76" s="114" t="n">
        <x:v>0</x:v>
      </x:c>
      <x:c r="M76" s="114" t="n">
        <x:v>0.14285714285714285</x:v>
      </x:c>
      <x:c r="N76" s="115" t="n">
        <x:v>138.75455624663482</x:v>
      </x:c>
      <x:c r="O76" s="110" t="str">
        <x:v>空仓</x:v>
      </x:c>
      <x:c r="P76" s="110" t="str">
        <x:v>仅过滤多单入场；退出52−300</x:v>
      </x:c>
    </x:row>
    <x:row r="77" ht="24" customHeight="1">
      <x:c r="B77" s="118" t="str">
        <x:v>补入 ADX &gt;= 20 且斜率 &gt;= 0.1</x:v>
      </x:c>
      <x:c r="C77" s="114" t="n">
        <x:v>-0.27883852871750203</x:v>
      </x:c>
      <x:c r="D77" s="114" t="n">
        <x:v>-0.278838528717502</x:v>
      </x:c>
      <x:c r="E77" s="114" t="n">
        <x:f>C77-D77</x:f>
        <x:v>-5.551115123125783e-17</x:v>
      </x:c>
      <x:c r="F77" s="114" t="n">
        <x:v>0.32086366813373346</x:v>
      </x:c>
      <x:c r="G77" s="117" t="n">
        <x:v>5</x:v>
      </x:c>
      <x:c r="H77" s="114" t="n">
        <x:v>0</x:v>
      </x:c>
      <x:c r="I77" s="116" t="n">
        <x:v>0</x:v>
      </x:c>
      <x:c r="J77" s="114" t="n">
        <x:v>-0.24191698067506662</x:v>
      </x:c>
      <x:c r="K77" s="114" t="n">
        <x:v>-0.025609750011186372</x:v>
      </x:c>
      <x:c r="L77" s="114" t="n">
        <x:v>0</x:v>
      </x:c>
      <x:c r="M77" s="114" t="n">
        <x:v>0.09693877551020408</x:v>
      </x:c>
      <x:c r="N77" s="115" t="n">
        <x:v>97.30892363646146</x:v>
      </x:c>
      <x:c r="O77" s="110" t="str">
        <x:v>空仓</x:v>
      </x:c>
      <x:c r="P77" s="110" t="str">
        <x:v>仅过滤多单入场；退出52−300</x:v>
      </x:c>
    </x:row>
    <x:row r="78" ht="24" customHeight="1">
      <x:c r="B78" s="118" t="str">
        <x:v>补入 排除ER20&lt;0.2且EMA52绝对斜率&lt;0.1</x:v>
      </x:c>
      <x:c r="C78" s="114" t="n">
        <x:v>0.3871601911657416</x:v>
      </x:c>
      <x:c r="D78" s="114" t="n">
        <x:v>0.1431702164074392</x:v>
      </x:c>
      <x:c r="E78" s="114" t="n">
        <x:f>C78-D78</x:f>
        <x:v>0.24398997475830236</x:v>
      </x:c>
      <x:c r="F78" s="114" t="n">
        <x:v>0.36432158707302614</x:v>
      </x:c>
      <x:c r="G78" s="117" t="n">
        <x:v>13</x:v>
      </x:c>
      <x:c r="H78" s="114" t="n">
        <x:v>0.3076923076923077</x:v>
      </x:c>
      <x:c r="I78" s="116" t="n">
        <x:v>1.3621361659850613</x:v>
      </x:c>
      <x:c r="J78" s="114" t="n">
        <x:v>0.21110021498609277</x:v>
      </x:c>
      <x:c r="K78" s="114" t="n">
        <x:v>-0.08300958996679399</x:v>
      </x:c>
      <x:c r="L78" s="114" t="n">
        <x:v>0.270381364177692</x:v>
      </x:c>
      <x:c r="M78" s="114" t="n">
        <x:v>0.3010204081632653</x:v>
      </x:c>
      <x:c r="N78" s="115" t="n">
        <x:v>271.69339555963404</x:v>
      </x:c>
      <x:c r="O78" s="110" t="str">
        <x:v>未平仓</x:v>
      </x:c>
      <x:c r="P78" s="110" t="str">
        <x:v>仅过滤多单入场；退出52−300</x:v>
      </x:c>
    </x:row>
    <x:row r="79" ht="24" customHeight="1">
      <x:c r="B79" s="118" t="str">
        <x:v>补入 排除ER20&lt;0.2且EMA52绝对斜率&lt;0.2</x:v>
      </x:c>
      <x:c r="C79" s="114" t="n">
        <x:v>0.17893873781004957</x:v>
      </x:c>
      <x:c r="D79" s="114" t="n">
        <x:v>0.17893873781004965</x:v>
      </x:c>
      <x:c r="E79" s="114" t="n">
        <x:f>C79-D79</x:f>
        <x:v>-8.326672684688674e-17</x:v>
      </x:c>
      <x:c r="F79" s="114" t="n">
        <x:v>0.34175992127972216</x:v>
      </x:c>
      <x:c r="G79" s="117" t="n">
        <x:v>11</x:v>
      </x:c>
      <x:c r="H79" s="114" t="n">
        <x:v>0.2727272727272727</x:v>
      </x:c>
      <x:c r="I79" s="116" t="n">
        <x:v>1.4995524981541992</x:v>
      </x:c>
      <x:c r="J79" s="114" t="n">
        <x:v>0.21110021498609277</x:v>
      </x:c>
      <x:c r="K79" s="114" t="n">
        <x:v>-0.045858529026492005</x:v>
      </x:c>
      <x:c r="L79" s="114" t="n">
        <x:v>0.025008849881698048</x:v>
      </x:c>
      <x:c r="M79" s="114" t="n">
        <x:v>0.27755102040816326</x:v>
      </x:c>
      <x:c r="N79" s="115" t="n">
        <x:v>222.01139877687737</x:v>
      </x:c>
      <x:c r="O79" s="110" t="str">
        <x:v>空仓</x:v>
      </x:c>
      <x:c r="P79" s="110" t="str">
        <x:v>仅过滤多单入场；退出52−300</x:v>
      </x:c>
    </x:row>
  </x:sheetData>
  <x:mergeCells>
    <x:mergeCell ref="C11:P11"/>
    <x:mergeCell ref="B13:P13"/>
    <x:mergeCell ref="B29:E29"/>
    <x:mergeCell ref="G29:J29"/>
    <x:mergeCell ref="B5:P5"/>
    <x:mergeCell ref="B6:P6"/>
    <x:mergeCell ref="B7:P7"/>
  </x:mergeCells>
  <x:conditionalFormatting sqref="C41:C79">
    <x:cfRule type="cellIs" dxfId="3" priority="1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7da0039e8794f6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baseColWidth="10" defaultColWidth="8.83203125" defaultRowHeight="14"/>
  <x:cols>
    <x:col min="1" max="1" width="27" customWidth="1"/>
    <x:col min="2" max="4" width="14" customWidth="1"/>
    <x:col min="5" max="5" width="12" customWidth="1"/>
    <x:col min="6" max="6" width="14" customWidth="1"/>
    <x:col min="7" max="7" width="3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  <x:col min="14" max="14" width="20" hidden="0" customWidth="1"/>
    <x:col min="15" max="15" width="20" hidden="0" customWidth="1"/>
    <x:col min="16" max="16" width="20" hidden="0" customWidth="1"/>
    <x:col min="17" max="17" width="20" hidden="0" customWidth="1"/>
    <x:col min="18" max="18" width="20" hidden="0" customWidth="1"/>
    <x:col min="19" max="19" width="20" hidden="0" customWidth="1"/>
    <x:col min="20" max="20" width="20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</x:cols>
  <x:sheetData>
    <x:row r="1">
      <x:c r="A1" s="98" t="str">
        <x:v>指标</x:v>
      </x:c>
      <x:c r="B1" s="98" t="str">
        <x:v>EMA25原退出</x:v>
      </x:c>
      <x:c r="C1" s="98" t="str">
        <x:v>EMA25 2ATR</x:v>
      </x:c>
      <x:c r="D1" s="98" t="str">
        <x:v>差额</x:v>
      </x:c>
      <x:c r="E1" s="98" t="str">
        <x:v>优先方向</x:v>
      </x:c>
      <x:c r="F1" s="98" t="str">
        <x:v>结论</x:v>
      </x:c>
      <x:c r="G1" s="136"/>
      <x:c r="H1" s="98" t="str">
        <x:v>日期</x:v>
      </x:c>
      <x:c r="I1" s="98" t="str">
        <x:v>EMA25原退出</x:v>
      </x:c>
      <x:c r="J1" s="98" t="str">
        <x:v>EMA25 2ATR</x:v>
      </x:c>
      <x:c r="K1" s="136"/>
      <x:c r="L1" s="98" t="str">
        <x:v>独立期间</x:v>
      </x:c>
      <x:c r="M1" s="98" t="str">
        <x:v>EMA25原退出</x:v>
      </x:c>
      <x:c r="N1" s="98" t="str">
        <x:v>EMA25 2ATR</x:v>
      </x:c>
      <x:c r="O1" s="136"/>
      <x:c r="P1" s="98" t="str">
        <x:v>主要方案</x:v>
      </x:c>
      <x:c r="Q1" s="98" t="str">
        <x:v>全区间收益</x:v>
      </x:c>
      <x:c r="R1" s="136"/>
      <x:c r="S1" s="98" t="str">
        <x:v>EMA25已平仓分布</x:v>
      </x:c>
      <x:c r="T1" s="98" t="str">
        <x:v>笔数</x:v>
      </x:c>
      <x:c r="V1" t="str">
        <x:v>UTC日期</x:v>
      </x:c>
      <x:c r="W1" t="str">
        <x:v>BTC开盘</x:v>
      </x:c>
      <x:c r="X1" t="str">
        <x:v>BTC最高</x:v>
      </x:c>
      <x:c r="Y1" t="str">
        <x:v>BTC最低</x:v>
      </x:c>
      <x:c r="Z1" t="str">
        <x:v>BTC收盘</x:v>
      </x:c>
      <x:c r="AA1" t="str">
        <x:v>EMA25原净值</x:v>
      </x:c>
      <x:c r="AB1" t="str">
        <x:v>EMA25 2ATR净值</x:v>
      </x:c>
    </x:row>
    <x:row r="2">
      <x:c r="A2" s="128" t="str">
        <x:v>总收益</x:v>
      </x:c>
      <x:c r="B2" s="138" t="n">
        <x:f>'Data &amp; Targets'!C18</x:f>
        <x:v>0.5194344542083678</x:v>
      </x:c>
      <x:c r="C2" s="138" t="n">
        <x:f>'Data &amp; Targets'!C26</x:f>
        <x:v>0.34532591828928605</x:v>
      </x:c>
      <x:c r="D2" s="138" t="n">
        <x:f>C2-B2</x:f>
        <x:v>-0.1741085359190817</x:v>
      </x:c>
      <x:c r="E2" s="128" t="str">
        <x:f t="shared" ref="E2:E7" si="0">"Higher"</x:f>
        <x:v>越高越好</x:v>
      </x:c>
      <x:c r="F2" s="128" t="str">
        <x:f t="shared" ref="F2:F9" si="1">IF(C2&gt;B2,"2ATR较好","原退出较好")</x:f>
        <x:v>原退出较好</x:v>
      </x:c>
      <x:c r="G2" s="128"/>
      <x:c r="H2" s="140" t="str">
        <x:v>2024-01</x:v>
      </x:c>
      <x:c r="I2" s="137" t="n">
        <x:v>10000</x:v>
      </x:c>
      <x:c r="J2" s="137" t="n">
        <x:v>10000</x:v>
      </x:c>
      <x:c r="K2" s="128"/>
      <x:c r="L2" s="140" t="str">
        <x:v>2024</x:v>
      </x:c>
      <x:c r="M2" s="138" t="n">
        <x:f>'Data &amp; Targets'!J18</x:f>
        <x:v>0.30173419413690605</x:v>
      </x:c>
      <x:c r="N2" s="138" t="n">
        <x:f>'Data &amp; Targets'!J26</x:f>
        <x:v>0.2811092958405279</x:v>
      </x:c>
      <x:c r="O2" s="128"/>
      <x:c r="P2" s="128" t="str">
        <x:v>EMA25原退出</x:v>
      </x:c>
      <x:c r="Q2" s="138" t="n">
        <x:f>'Data &amp; Targets'!C18</x:f>
        <x:v>0.5194344542083678</x:v>
      </x:c>
      <x:c r="R2" s="128"/>
      <x:c r="S2" s="128" t="str">
        <x:v>大收益≥20%</x:v>
      </x:c>
      <x:c r="T2" s="139" t="n">
        <x:f>COUNTIFS('逐笔交易'!$N$7:$N$425,"ema25",'逐笔交易'!$K$7:$K$425,"已平仓",'逐笔交易'!$I$7:$I$425,"&gt;="&amp;'Data &amp; Targets'!$C$31)</x:f>
        <x:v>1</x:v>
      </x:c>
      <x:c r="V2" s="141" t="n">
        <x:v>45292</x:v>
      </x:c>
      <x:c r="W2" s="142" t="n">
        <x:v>42283.58</x:v>
      </x:c>
      <x:c r="X2" s="142" t="n">
        <x:v>44184.1</x:v>
      </x:c>
      <x:c r="Y2" s="142" t="n">
        <x:v>42180.77</x:v>
      </x:c>
      <x:c r="Z2" s="142" t="n">
        <x:v>44179.55</x:v>
      </x:c>
      <x:c r="AA2" s="142" t="n">
        <x:v>10000</x:v>
      </x:c>
      <x:c r="AB2" s="142" t="n">
        <x:v>10000</x:v>
      </x:c>
    </x:row>
    <x:row r="3">
      <x:c r="A3" s="128" t="str">
        <x:v>已平仓收益</x:v>
      </x:c>
      <x:c r="B3" s="138" t="n">
        <x:f>'Data &amp; Targets'!D18</x:f>
        <x:v>0.27544447945006556</x:v>
      </x:c>
      <x:c r="C3" s="138" t="n">
        <x:f>'Data &amp; Targets'!D26</x:f>
        <x:v>0.09829768497328323</x:v>
      </x:c>
      <x:c r="D3" s="138" t="n">
        <x:f>C3-B3</x:f>
        <x:v>-0.17714679447678233</x:v>
      </x:c>
      <x:c r="E3" s="128" t="str">
        <x:f t="shared" si="0"/>
        <x:v>越高越好</x:v>
      </x:c>
      <x:c r="F3" s="128" t="str">
        <x:f t="shared" si="1">IF(C3&gt;B3,"2ATR较好","原退出较好")</x:f>
        <x:v>原退出较好</x:v>
      </x:c>
      <x:c r="G3" s="128"/>
      <x:c r="H3" s="140" t="str">
        <x:v>2024Q1</x:v>
      </x:c>
      <x:c r="I3" s="137" t="n">
        <x:v>10496.99795741512</x:v>
      </x:c>
      <x:c r="J3" s="137" t="n">
        <x:v>10496.99795741512</x:v>
      </x:c>
      <x:c r="K3" s="128"/>
      <x:c r="L3" s="140" t="str">
        <x:v>2025</x:v>
      </x:c>
      <x:c r="M3" s="138" t="n">
        <x:f>'Data &amp; Targets'!K18</x:f>
        <x:v>-0.07796904695481588</x:v>
      </x:c>
      <x:c r="N3" s="138" t="n">
        <x:f>'Data &amp; Targets'!K26</x:f>
        <x:v>-0.11909844488509913</x:v>
      </x:c>
      <x:c r="O3" s="128"/>
      <x:c r="P3" s="128" t="str">
        <x:v>EMA25 2ATR</x:v>
      </x:c>
      <x:c r="Q3" s="138" t="n">
        <x:f>'Data &amp; Targets'!C26</x:f>
        <x:v>0.34532591828928605</x:v>
      </x:c>
      <x:c r="R3" s="128"/>
      <x:c r="S3" s="128" t="str">
        <x:v>普通盈利</x:v>
      </x:c>
      <x:c r="T3" s="139" t="n">
        <x:f>COUNTIFS('逐笔交易'!$N$7:$N$425,"ema25",'逐笔交易'!$K$7:$K$425,"已平仓",'逐笔交易'!$I$7:$I$425,"&gt;"&amp;0)-T2</x:f>
        <x:v>4</x:v>
      </x:c>
      <x:c r="V3" s="141" t="n">
        <x:v>45293</x:v>
      </x:c>
      <x:c r="W3" s="142" t="n">
        <x:v>44179.55</x:v>
      </x:c>
      <x:c r="X3" s="142" t="n">
        <x:v>45879.63</x:v>
      </x:c>
      <x:c r="Y3" s="142" t="n">
        <x:v>44148.34</x:v>
      </x:c>
      <x:c r="Z3" s="142" t="n">
        <x:v>44946.91</x:v>
      </x:c>
      <x:c r="AA3" s="142" t="n">
        <x:v>10000</x:v>
      </x:c>
      <x:c r="AB3" s="142" t="n">
        <x:v>10000</x:v>
      </x:c>
    </x:row>
    <x:row r="4">
      <x:c r="A4" s="128" t="str">
        <x:v>收盘回撤</x:v>
      </x:c>
      <x:c r="B4" s="138" t="n">
        <x:f>'Data &amp; Targets'!F18</x:f>
        <x:v>0.23535902059947916</x:v>
      </x:c>
      <x:c r="C4" s="138" t="n">
        <x:f>'Data &amp; Targets'!F26</x:f>
        <x:v>0.29310699701186843</x:v>
      </x:c>
      <x:c r="D4" s="138" t="n">
        <x:f>C4-B4</x:f>
        <x:v>0.05774797641238927</x:v>
      </x:c>
      <x:c r="E4" s="128" t="str">
        <x:f t="shared" si="0"/>
        <x:v>越低越好</x:v>
      </x:c>
      <x:c r="F4" s="128" t="str">
        <x:f t="shared" si="1">IF(C4&lt;B4,"2ATR较好","原退出较好")</x:f>
        <x:v>原退出较好</x:v>
      </x:c>
      <x:c r="G4" s="128"/>
      <x:c r="H4" s="140" t="str">
        <x:v>2024Q2</x:v>
      </x:c>
      <x:c r="I4" s="137" t="n">
        <x:v>8927.445792482753</x:v>
      </x:c>
      <x:c r="J4" s="137" t="n">
        <x:v>8868.619382430941</x:v>
      </x:c>
      <x:c r="K4" s="128"/>
      <x:c r="L4" s="140" t="str">
        <x:v>2026截至9月6日</x:v>
      </x:c>
      <x:c r="M4" s="138" t="n">
        <x:f>'Data &amp; Targets'!L18</x:f>
        <x:v>0.26585960899473604</x:v>
      </x:c>
      <x:c r="N4" s="138" t="n">
        <x:f>'Data &amp; Targets'!L26</x:f>
        <x:v>0.17605531928631968</x:v>
      </x:c>
      <x:c r="O4" s="128"/>
      <x:c r="P4" s="128" t="str">
        <x:v>补入原退出</x:v>
      </x:c>
      <x:c r="Q4" s="138" t="n">
        <x:f>'Data &amp; Targets'!C23</x:f>
        <x:v>0.7942214587236807</x:v>
      </x:c>
      <x:c r="R4" s="128"/>
      <x:c r="S4" s="128" t="str">
        <x:v>亏损</x:v>
      </x:c>
      <x:c r="T4" s="139" t="n">
        <x:f>COUNTIFS('逐笔交易'!$N$7:$N$425,"ema25",'逐笔交易'!$K$7:$K$425,"已平仓",'逐笔交易'!$I$7:$I$425,"&lt;"&amp;0)</x:f>
        <x:v>10</x:v>
      </x:c>
      <x:c r="V4" s="141" t="n">
        <x:v>45294</x:v>
      </x:c>
      <x:c r="W4" s="142" t="n">
        <x:v>44946.91</x:v>
      </x:c>
      <x:c r="X4" s="142" t="n">
        <x:v>45500</x:v>
      </x:c>
      <x:c r="Y4" s="142" t="n">
        <x:v>40750</x:v>
      </x:c>
      <x:c r="Z4" s="142" t="n">
        <x:v>42845.23</x:v>
      </x:c>
      <x:c r="AA4" s="142" t="n">
        <x:v>10000</x:v>
      </x:c>
      <x:c r="AB4" s="142" t="n">
        <x:v>10000</x:v>
      </x:c>
    </x:row>
    <x:row r="5">
      <x:c r="A5" s="128" t="str">
        <x:v>已平仓笔数</x:v>
      </x:c>
      <x:c r="B5" s="139" t="n">
        <x:f>'Data &amp; Targets'!G18</x:f>
        <x:v>15</x:v>
      </x:c>
      <x:c r="C5" s="139" t="n">
        <x:f>'Data &amp; Targets'!G26</x:f>
        <x:v>5</x:v>
      </x:c>
      <x:c r="D5" s="139" t="n">
        <x:f>C5-B5</x:f>
        <x:v>-10</x:v>
      </x:c>
      <x:c r="E5" s="128" t="str">
        <x:f t="shared" si="0"/>
        <x:v>仅描述</x:v>
      </x:c>
      <x:c r="F5" s="128" t="str">
        <x:f t="shared" si="1">"仅描述"</x:f>
        <x:v>仅描述</x:v>
      </x:c>
      <x:c r="G5" s="128"/>
      <x:c r="H5" s="140" t="str">
        <x:v>2024Q3</x:v>
      </x:c>
      <x:c r="I5" s="137" t="n">
        <x:v>8318.067461968425</x:v>
      </x:c>
      <x:c r="J5" s="137" t="n">
        <x:v>7749.096050889898</x:v>
      </x:c>
      <x:c r="K5" s="128"/>
      <x:c r="L5" s="129"/>
      <x:c r="M5" s="128"/>
      <x:c r="N5" s="128"/>
      <x:c r="O5" s="128"/>
      <x:c r="P5" s="128" t="str">
        <x:v>补入2ATR</x:v>
      </x:c>
      <x:c r="Q5" s="138" t="n">
        <x:f>'Data &amp; Targets'!C27</x:f>
        <x:v>0.6587992750533496</x:v>
      </x:c>
      <x:c r="R5" s="128"/>
      <x:c r="S5" s="128" t="str">
        <x:v>零收益</x:v>
      </x:c>
      <x:c r="T5" s="139" t="n">
        <x:f>COUNTIFS('逐笔交易'!$N$7:$N$425,"ema25",'逐笔交易'!$K$7:$K$425,"已平仓",'逐笔交易'!$I$7:$I$425,"="&amp;0)</x:f>
        <x:v>0</x:v>
      </x:c>
      <x:c r="V5" s="141" t="n">
        <x:v>45295</x:v>
      </x:c>
      <x:c r="W5" s="142" t="n">
        <x:v>42845.23</x:v>
      </x:c>
      <x:c r="X5" s="142" t="n">
        <x:v>44729.58</x:v>
      </x:c>
      <x:c r="Y5" s="142" t="n">
        <x:v>42613.77</x:v>
      </x:c>
      <x:c r="Z5" s="142" t="n">
        <x:v>44151.1</x:v>
      </x:c>
      <x:c r="AA5" s="142" t="n">
        <x:v>10000</x:v>
      </x:c>
      <x:c r="AB5" s="142" t="n">
        <x:v>10000</x:v>
      </x:c>
    </x:row>
    <x:row r="6">
      <x:c r="A6" s="128" t="str">
        <x:v>胜率</x:v>
      </x:c>
      <x:c r="B6" s="138" t="n">
        <x:f>'Data &amp; Targets'!H18</x:f>
        <x:v>0.33333333333333326</x:v>
      </x:c>
      <x:c r="C6" s="138" t="n">
        <x:f>'Data &amp; Targets'!H26</x:f>
        <x:v>0.2</x:v>
      </x:c>
      <x:c r="D6" s="138" t="n">
        <x:f>C6-B6</x:f>
        <x:v>-0.13333333333333325</x:v>
      </x:c>
      <x:c r="E6" s="128" t="str">
        <x:f t="shared" si="0"/>
        <x:v>越高越好</x:v>
      </x:c>
      <x:c r="F6" s="128" t="str">
        <x:f t="shared" si="1">IF(C6&gt;B6,"2ATR较好","原退出较好")</x:f>
        <x:v>原退出较好</x:v>
      </x:c>
      <x:c r="G6" s="128"/>
      <x:c r="H6" s="140" t="str">
        <x:v>2024Q4</x:v>
      </x:c>
      <x:c r="I6" s="137" t="n">
        <x:v>13017.34194136906</x:v>
      </x:c>
      <x:c r="J6" s="137" t="n">
        <x:v>12811.09295840528</x:v>
      </x:c>
      <x:c r="K6" s="128"/>
      <x:c r="L6" s="129"/>
      <x:c r="M6" s="128"/>
      <x:c r="N6" s="128"/>
      <x:c r="O6" s="128"/>
      <x:c r="P6" s="128"/>
      <x:c r="Q6" s="130"/>
      <x:c r="R6" s="128"/>
      <x:c r="S6" s="128"/>
      <x:c r="T6" s="128"/>
      <x:c r="V6" s="141" t="n">
        <x:v>45296</x:v>
      </x:c>
      <x:c r="W6" s="142" t="n">
        <x:v>44151.1</x:v>
      </x:c>
      <x:c r="X6" s="142" t="n">
        <x:v>44357.46</x:v>
      </x:c>
      <x:c r="Y6" s="142" t="n">
        <x:v>42450</x:v>
      </x:c>
      <x:c r="Z6" s="142" t="n">
        <x:v>44145.11</x:v>
      </x:c>
      <x:c r="AA6" s="142" t="n">
        <x:v>10000</x:v>
      </x:c>
      <x:c r="AB6" s="142" t="n">
        <x:v>10000</x:v>
      </x:c>
    </x:row>
    <x:row r="7">
      <x:c r="A7" s="128" t="str">
        <x:v>利润因子</x:v>
      </x:c>
      <x:c r="B7" s="137" t="n">
        <x:f>'Data &amp; Targets'!I18</x:f>
        <x:v>1.7962698336062968</x:v>
      </x:c>
      <x:c r="C7" s="137" t="n">
        <x:f>'Data &amp; Targets'!I26</x:f>
        <x:v>1.3000342174341744</x:v>
      </x:c>
      <x:c r="D7" s="137" t="n">
        <x:f>C7-B7</x:f>
        <x:v>-0.4962356161721224</x:v>
      </x:c>
      <x:c r="E7" s="128" t="str">
        <x:f t="shared" si="0"/>
        <x:v>越高越好</x:v>
      </x:c>
      <x:c r="F7" s="128" t="str">
        <x:f t="shared" si="1">IF(C7&gt;B7,"2ATR较好","原退出较好")</x:f>
        <x:v>原退出较好</x:v>
      </x:c>
      <x:c r="G7" s="128"/>
      <x:c r="H7" s="140" t="str">
        <x:v>2025Q1</x:v>
      </x:c>
      <x:c r="I7" s="137" t="n">
        <x:v>12565.290827132394</x:v>
      </x:c>
      <x:c r="J7" s="137" t="n">
        <x:v>12008.288720734952</x:v>
      </x:c>
      <x:c r="K7" s="128"/>
      <x:c r="L7" s="129"/>
      <x:c r="M7" s="128"/>
      <x:c r="N7" s="128"/>
      <x:c r="O7" s="128"/>
      <x:c r="P7" s="128"/>
      <x:c r="Q7" s="128"/>
      <x:c r="R7" s="128"/>
      <x:c r="S7" s="128"/>
      <x:c r="T7" s="128"/>
      <x:c r="V7" s="141" t="n">
        <x:v>45297</x:v>
      </x:c>
      <x:c r="W7" s="142" t="n">
        <x:v>44145.12</x:v>
      </x:c>
      <x:c r="X7" s="142" t="n">
        <x:v>44214.42</x:v>
      </x:c>
      <x:c r="Y7" s="142" t="n">
        <x:v>43397.05</x:v>
      </x:c>
      <x:c r="Z7" s="142" t="n">
        <x:v>43968.32</x:v>
      </x:c>
      <x:c r="AA7" s="142" t="n">
        <x:v>10000</x:v>
      </x:c>
      <x:c r="AB7" s="142" t="n">
        <x:v>10000</x:v>
      </x:c>
    </x:row>
    <x:row r="8">
      <x:c r="A8" s="128" t="str">
        <x:v>持仓占比</x:v>
      </x:c>
      <x:c r="B8" s="138" t="n">
        <x:f>'Data &amp; Targets'!M18</x:f>
        <x:v>0.326530612244898</x:v>
      </x:c>
      <x:c r="C8" s="138" t="n">
        <x:f>'Data &amp; Targets'!M26</x:f>
        <x:v>0.45816326530612245</x:v>
      </x:c>
      <x:c r="D8" s="138" t="n">
        <x:f>C8-B8</x:f>
        <x:v>0.13163265306122446</x:v>
      </x:c>
      <x:c r="E8" s="128" t="str">
        <x:v>仅描述</x:v>
      </x:c>
      <x:c r="F8" s="128" t="str">
        <x:f t="shared" si="1">"仅描述"</x:f>
        <x:v>仅描述</x:v>
      </x:c>
      <x:c r="G8" s="128"/>
      <x:c r="H8" s="140" t="str">
        <x:v>2025Q2</x:v>
      </x:c>
      <x:c r="I8" s="137" t="n">
        <x:v>12471.270816953975</x:v>
      </x:c>
      <x:c r="J8" s="137" t="n">
        <x:v>12242.535214822256</x:v>
      </x:c>
      <x:c r="K8" s="128"/>
      <x:c r="L8" s="129"/>
      <x:c r="M8" s="128"/>
      <x:c r="N8" s="128"/>
      <x:c r="O8" s="128"/>
      <x:c r="P8" s="128"/>
      <x:c r="Q8" s="128"/>
      <x:c r="R8" s="128"/>
      <x:c r="S8" s="128"/>
      <x:c r="T8" s="128"/>
      <x:c r="V8" s="141" t="n">
        <x:v>45298</x:v>
      </x:c>
      <x:c r="W8" s="142" t="n">
        <x:v>43968.32</x:v>
      </x:c>
      <x:c r="X8" s="142" t="n">
        <x:v>44480.59</x:v>
      </x:c>
      <x:c r="Y8" s="142" t="n">
        <x:v>43572.09</x:v>
      </x:c>
      <x:c r="Z8" s="142" t="n">
        <x:v>43929.02</x:v>
      </x:c>
      <x:c r="AA8" s="142" t="n">
        <x:v>10000</x:v>
      </x:c>
      <x:c r="AB8" s="142" t="n">
        <x:v>10000</x:v>
      </x:c>
    </x:row>
    <x:row r="9">
      <x:c r="A9" s="128" t="str">
        <x:v>手续费USDT</x:v>
      </x:c>
      <x:c r="B9" s="137" t="n">
        <x:f>'Data &amp; Targets'!N18</x:f>
        <x:v>313.05750229679745</x:v>
      </x:c>
      <x:c r="C9" s="137" t="n">
        <x:f>'Data &amp; Targets'!N26</x:f>
        <x:v>111.08406091064347</x:v>
      </x:c>
      <x:c r="D9" s="137" t="n">
        <x:f>C9-B9</x:f>
        <x:v>-201.97344138615398</x:v>
      </x:c>
      <x:c r="E9" s="128" t="str">
        <x:v>越低越好</x:v>
      </x:c>
      <x:c r="F9" s="128" t="str">
        <x:f t="shared" si="1">IF(C9&lt;B9,"2ATR较好","原退出较好")</x:f>
        <x:v>2ATR较好</x:v>
      </x:c>
      <x:c r="G9" s="128"/>
      <x:c r="H9" s="140" t="str">
        <x:v>2025Q3</x:v>
      </x:c>
      <x:c r="I9" s="137" t="n">
        <x:v>12657.101840587236</x:v>
      </x:c>
      <x:c r="J9" s="137" t="n">
        <x:v>12902.474590613187</x:v>
      </x:c>
      <x:c r="K9" s="128"/>
      <x:c r="L9" s="129"/>
      <x:c r="M9" s="128"/>
      <x:c r="N9" s="128"/>
      <x:c r="O9" s="128"/>
      <x:c r="P9" s="128"/>
      <x:c r="Q9" s="128"/>
      <x:c r="R9" s="128"/>
      <x:c r="S9" s="128"/>
      <x:c r="T9" s="128"/>
      <x:c r="V9" s="141" t="n">
        <x:v>45299</x:v>
      </x:c>
      <x:c r="W9" s="142" t="n">
        <x:v>43929.01</x:v>
      </x:c>
      <x:c r="X9" s="142" t="n">
        <x:v>47248.99</x:v>
      </x:c>
      <x:c r="Y9" s="142" t="n">
        <x:v>43175</x:v>
      </x:c>
      <x:c r="Z9" s="142" t="n">
        <x:v>46951.04</x:v>
      </x:c>
      <x:c r="AA9" s="142" t="n">
        <x:v>10000</x:v>
      </x:c>
      <x:c r="AB9" s="142" t="n">
        <x:v>10000</x:v>
      </x:c>
    </x:row>
    <x:row r="10">
      <x:c r="A10" s="128"/>
      <x:c r="B10" s="128"/>
      <x:c r="C10" s="128"/>
      <x:c r="D10" s="128"/>
      <x:c r="E10" s="128"/>
      <x:c r="F10" s="128"/>
      <x:c r="G10" s="128"/>
      <x:c r="H10" s="140" t="str">
        <x:v>2025Q4</x:v>
      </x:c>
      <x:c r="I10" s="137" t="n">
        <x:v>12535.748452136317</x:v>
      </x:c>
      <x:c r="J10" s="137" t="n">
        <x:v>11692.70599002966</x:v>
      </x:c>
      <x:c r="K10" s="128"/>
      <x:c r="L10" s="129"/>
      <x:c r="M10" s="128"/>
      <x:c r="N10" s="128"/>
      <x:c r="O10" s="128"/>
      <x:c r="P10" s="128"/>
      <x:c r="Q10" s="128"/>
      <x:c r="R10" s="128"/>
      <x:c r="S10" s="128"/>
      <x:c r="T10" s="128"/>
      <x:c r="V10" s="141" t="n">
        <x:v>45300</x:v>
      </x:c>
      <x:c r="W10" s="142" t="n">
        <x:v>46951.04</x:v>
      </x:c>
      <x:c r="X10" s="142" t="n">
        <x:v>47972</x:v>
      </x:c>
      <x:c r="Y10" s="142" t="n">
        <x:v>44748.67</x:v>
      </x:c>
      <x:c r="Z10" s="142" t="n">
        <x:v>46110</x:v>
      </x:c>
      <x:c r="AA10" s="142" t="n">
        <x:v>10000</x:v>
      </x:c>
      <x:c r="AB10" s="142" t="n">
        <x:v>10000</x:v>
      </x:c>
    </x:row>
    <x:row r="11">
      <x:c r="A11" s="128"/>
      <x:c r="B11" s="128"/>
      <x:c r="C11" s="128"/>
      <x:c r="D11" s="128"/>
      <x:c r="E11" s="128"/>
      <x:c r="F11" s="128"/>
      <x:c r="G11" s="128"/>
      <x:c r="H11" s="140" t="str">
        <x:v>2026Q1</x:v>
      </x:c>
      <x:c r="I11" s="137" t="n">
        <x:v>12155.969680247441</x:v>
      </x:c>
      <x:c r="J11" s="137" t="n">
        <x:v>10982.976849732833</x:v>
      </x:c>
      <x:c r="K11" s="128"/>
      <x:c r="L11" s="129"/>
      <x:c r="M11" s="128"/>
      <x:c r="N11" s="128"/>
      <x:c r="O11" s="128"/>
      <x:c r="P11" s="128"/>
      <x:c r="Q11" s="128"/>
      <x:c r="R11" s="128"/>
      <x:c r="S11" s="128"/>
      <x:c r="T11" s="128"/>
      <x:c r="V11" s="141" t="n">
        <x:v>45301</x:v>
      </x:c>
      <x:c r="W11" s="142" t="n">
        <x:v>46110</x:v>
      </x:c>
      <x:c r="X11" s="142" t="n">
        <x:v>47695.93</x:v>
      </x:c>
      <x:c r="Y11" s="142" t="n">
        <x:v>44300.36</x:v>
      </x:c>
      <x:c r="Z11" s="142" t="n">
        <x:v>46653.99</x:v>
      </x:c>
      <x:c r="AA11" s="142" t="n">
        <x:v>10000</x:v>
      </x:c>
      <x:c r="AB11" s="142" t="n">
        <x:v>10000</x:v>
      </x:c>
    </x:row>
    <x:row r="12">
      <x:c r="A12" s="128"/>
      <x:c r="B12" s="128"/>
      <x:c r="C12" s="128"/>
      <x:c r="D12" s="128"/>
      <x:c r="E12" s="128"/>
      <x:c r="F12" s="128"/>
      <x:c r="G12" s="128"/>
      <x:c r="H12" s="140" t="str">
        <x:v>2026Q2</x:v>
      </x:c>
      <x:c r="I12" s="137" t="n">
        <x:v>13168.498230188949</x:v>
      </x:c>
      <x:c r="J12" s="137" t="n">
        <x:v>10982.976849732833</x:v>
      </x:c>
      <x:c r="K12" s="128"/>
      <x:c r="L12" s="129"/>
      <x:c r="M12" s="128"/>
      <x:c r="N12" s="128"/>
      <x:c r="O12" s="128"/>
      <x:c r="P12" s="128"/>
      <x:c r="Q12" s="128"/>
      <x:c r="R12" s="128"/>
      <x:c r="S12" s="128"/>
      <x:c r="T12" s="128"/>
      <x:c r="V12" s="141" t="n">
        <x:v>45302</x:v>
      </x:c>
      <x:c r="W12" s="142" t="n">
        <x:v>46654</x:v>
      </x:c>
      <x:c r="X12" s="142" t="n">
        <x:v>48969.48</x:v>
      </x:c>
      <x:c r="Y12" s="142" t="n">
        <x:v>45606.06</x:v>
      </x:c>
      <x:c r="Z12" s="142" t="n">
        <x:v>46339.16</x:v>
      </x:c>
      <x:c r="AA12" s="142" t="n">
        <x:v>10000</x:v>
      </x:c>
      <x:c r="AB12" s="142" t="n">
        <x:v>10000</x:v>
      </x:c>
    </x:row>
    <x:row r="13">
      <x:c r="A13" s="128"/>
      <x:c r="B13" s="128"/>
      <x:c r="C13" s="128"/>
      <x:c r="D13" s="128"/>
      <x:c r="E13" s="128"/>
      <x:c r="F13" s="128"/>
      <x:c r="G13" s="128"/>
      <x:c r="H13" s="140" t="str">
        <x:v>2026Q3*</x:v>
      </x:c>
      <x:c r="I13" s="137" t="n">
        <x:v>15194.344542083678</x:v>
      </x:c>
      <x:c r="J13" s="137" t="n">
        <x:v>13453.25918289286</x:v>
      </x:c>
      <x:c r="K13" s="128"/>
      <x:c r="L13" s="129"/>
      <x:c r="M13" s="128"/>
      <x:c r="N13" s="128"/>
      <x:c r="O13" s="128"/>
      <x:c r="P13" s="128"/>
      <x:c r="Q13" s="128"/>
      <x:c r="R13" s="128"/>
      <x:c r="S13" s="128"/>
      <x:c r="T13" s="128"/>
      <x:c r="V13" s="141" t="n">
        <x:v>45303</x:v>
      </x:c>
      <x:c r="W13" s="142" t="n">
        <x:v>46339.16</x:v>
      </x:c>
      <x:c r="X13" s="142" t="n">
        <x:v>46515.53</x:v>
      </x:c>
      <x:c r="Y13" s="142" t="n">
        <x:v>41500</x:v>
      </x:c>
      <x:c r="Z13" s="142" t="n">
        <x:v>42782.73</x:v>
      </x:c>
      <x:c r="AA13" s="142" t="n">
        <x:v>10000</x:v>
      </x:c>
      <x:c r="AB13" s="142" t="n">
        <x:v>10000</x:v>
      </x:c>
    </x:row>
    <x:row r="14">
      <x:c r="V14" s="141" t="n">
        <x:v>45304</x:v>
      </x:c>
      <x:c r="W14" s="142" t="n">
        <x:v>42782.74</x:v>
      </x:c>
      <x:c r="X14" s="142" t="n">
        <x:v>43257</x:v>
      </x:c>
      <x:c r="Y14" s="142" t="n">
        <x:v>42436.12</x:v>
      </x:c>
      <x:c r="Z14" s="142" t="n">
        <x:v>42847.99</x:v>
      </x:c>
      <x:c r="AA14" s="142" t="n">
        <x:v>10000</x:v>
      </x:c>
      <x:c r="AB14" s="142" t="n">
        <x:v>10000</x:v>
      </x:c>
    </x:row>
    <x:row r="15">
      <x:c r="V15" s="141" t="n">
        <x:v>45305</x:v>
      </x:c>
      <x:c r="W15" s="142" t="n">
        <x:v>42847.99</x:v>
      </x:c>
      <x:c r="X15" s="142" t="n">
        <x:v>43079</x:v>
      </x:c>
      <x:c r="Y15" s="142" t="n">
        <x:v>41720</x:v>
      </x:c>
      <x:c r="Z15" s="142" t="n">
        <x:v>41732.35</x:v>
      </x:c>
      <x:c r="AA15" s="142" t="n">
        <x:v>10000</x:v>
      </x:c>
      <x:c r="AB15" s="142" t="n">
        <x:v>10000</x:v>
      </x:c>
    </x:row>
    <x:row r="16">
      <x:c r="V16" s="141" t="n">
        <x:v>45306</x:v>
      </x:c>
      <x:c r="W16" s="142" t="n">
        <x:v>41732.35</x:v>
      </x:c>
      <x:c r="X16" s="142" t="n">
        <x:v>43400.43</x:v>
      </x:c>
      <x:c r="Y16" s="142" t="n">
        <x:v>41718.05</x:v>
      </x:c>
      <x:c r="Z16" s="142" t="n">
        <x:v>42511.1</x:v>
      </x:c>
      <x:c r="AA16" s="142" t="n">
        <x:v>10000</x:v>
      </x:c>
      <x:c r="AB16" s="142" t="n">
        <x:v>10000</x:v>
      </x:c>
    </x:row>
    <x:row r="17">
      <x:c r="V17" s="141" t="n">
        <x:v>45307</x:v>
      </x:c>
      <x:c r="W17" s="142" t="n">
        <x:v>42511.1</x:v>
      </x:c>
      <x:c r="X17" s="142" t="n">
        <x:v>43578.01</x:v>
      </x:c>
      <x:c r="Y17" s="142" t="n">
        <x:v>42050</x:v>
      </x:c>
      <x:c r="Z17" s="142" t="n">
        <x:v>43137.95</x:v>
      </x:c>
      <x:c r="AA17" s="142" t="n">
        <x:v>10000</x:v>
      </x:c>
      <x:c r="AB17" s="142" t="n">
        <x:v>10000</x:v>
      </x:c>
    </x:row>
    <x:row r="18">
      <x:c r="V18" s="141" t="n">
        <x:v>45308</x:v>
      </x:c>
      <x:c r="W18" s="142" t="n">
        <x:v>43137.94</x:v>
      </x:c>
      <x:c r="X18" s="142" t="n">
        <x:v>43198</x:v>
      </x:c>
      <x:c r="Y18" s="142" t="n">
        <x:v>42200.69</x:v>
      </x:c>
      <x:c r="Z18" s="142" t="n">
        <x:v>42776.1</x:v>
      </x:c>
      <x:c r="AA18" s="142" t="n">
        <x:v>10000</x:v>
      </x:c>
      <x:c r="AB18" s="142" t="n">
        <x:v>10000</x:v>
      </x:c>
    </x:row>
    <x:row r="19">
      <x:c r="V19" s="141" t="n">
        <x:v>45309</x:v>
      </x:c>
      <x:c r="W19" s="142" t="n">
        <x:v>42776.09</x:v>
      </x:c>
      <x:c r="X19" s="142" t="n">
        <x:v>42930</x:v>
      </x:c>
      <x:c r="Y19" s="142" t="n">
        <x:v>40683.28</x:v>
      </x:c>
      <x:c r="Z19" s="142" t="n">
        <x:v>41327.5</x:v>
      </x:c>
      <x:c r="AA19" s="142" t="n">
        <x:v>10000</x:v>
      </x:c>
      <x:c r="AB19" s="142" t="n">
        <x:v>10000</x:v>
      </x:c>
    </x:row>
    <x:row r="20">
      <x:c r="V20" s="141" t="n">
        <x:v>45310</x:v>
      </x:c>
      <x:c r="W20" s="142" t="n">
        <x:v>41327.51</x:v>
      </x:c>
      <x:c r="X20" s="142" t="n">
        <x:v>42196.86</x:v>
      </x:c>
      <x:c r="Y20" s="142" t="n">
        <x:v>40280</x:v>
      </x:c>
      <x:c r="Z20" s="142" t="n">
        <x:v>41659.03</x:v>
      </x:c>
      <x:c r="AA20" s="142" t="n">
        <x:v>10000</x:v>
      </x:c>
      <x:c r="AB20" s="142" t="n">
        <x:v>10000</x:v>
      </x:c>
    </x:row>
    <x:row r="21">
      <x:c r="V21" s="141" t="n">
        <x:v>45311</x:v>
      </x:c>
      <x:c r="W21" s="142" t="n">
        <x:v>41659.03</x:v>
      </x:c>
      <x:c r="X21" s="142" t="n">
        <x:v>41872.56</x:v>
      </x:c>
      <x:c r="Y21" s="142" t="n">
        <x:v>41456.3</x:v>
      </x:c>
      <x:c r="Z21" s="142" t="n">
        <x:v>41696.04</x:v>
      </x:c>
      <x:c r="AA21" s="142" t="n">
        <x:v>10000</x:v>
      </x:c>
      <x:c r="AB21" s="142" t="n">
        <x:v>10000</x:v>
      </x:c>
    </x:row>
    <x:row r="22">
      <x:c r="V22" s="141" t="n">
        <x:v>45312</x:v>
      </x:c>
      <x:c r="W22" s="142" t="n">
        <x:v>41696.05</x:v>
      </x:c>
      <x:c r="X22" s="142" t="n">
        <x:v>41881.39</x:v>
      </x:c>
      <x:c r="Y22" s="142" t="n">
        <x:v>41500.98</x:v>
      </x:c>
      <x:c r="Z22" s="142" t="n">
        <x:v>41580.33</x:v>
      </x:c>
      <x:c r="AA22" s="142" t="n">
        <x:v>10000</x:v>
      </x:c>
      <x:c r="AB22" s="142" t="n">
        <x:v>10000</x:v>
      </x:c>
    </x:row>
    <x:row r="23">
      <x:c r="V23" s="141" t="n">
        <x:v>45313</x:v>
      </x:c>
      <x:c r="W23" s="142" t="n">
        <x:v>41580.32</x:v>
      </x:c>
      <x:c r="X23" s="142" t="n">
        <x:v>41689.65</x:v>
      </x:c>
      <x:c r="Y23" s="142" t="n">
        <x:v>39431.58</x:v>
      </x:c>
      <x:c r="Z23" s="142" t="n">
        <x:v>39568.02</x:v>
      </x:c>
      <x:c r="AA23" s="142" t="n">
        <x:v>10000</x:v>
      </x:c>
      <x:c r="AB23" s="142" t="n">
        <x:v>10000</x:v>
      </x:c>
    </x:row>
    <x:row r="24">
      <x:c r="V24" s="141" t="n">
        <x:v>45314</x:v>
      </x:c>
      <x:c r="W24" s="142" t="n">
        <x:v>39568.02</x:v>
      </x:c>
      <x:c r="X24" s="142" t="n">
        <x:v>40176.74</x:v>
      </x:c>
      <x:c r="Y24" s="142" t="n">
        <x:v>38555</x:v>
      </x:c>
      <x:c r="Z24" s="142" t="n">
        <x:v>39897.6</x:v>
      </x:c>
      <x:c r="AA24" s="142" t="n">
        <x:v>10000</x:v>
      </x:c>
      <x:c r="AB24" s="142" t="n">
        <x:v>10000</x:v>
      </x:c>
    </x:row>
    <x:row r="25">
      <x:c r="V25" s="141" t="n">
        <x:v>45315</x:v>
      </x:c>
      <x:c r="W25" s="142" t="n">
        <x:v>39897.59</x:v>
      </x:c>
      <x:c r="X25" s="142" t="n">
        <x:v>40555</x:v>
      </x:c>
      <x:c r="Y25" s="142" t="n">
        <x:v>39484.19</x:v>
      </x:c>
      <x:c r="Z25" s="142" t="n">
        <x:v>40084.88</x:v>
      </x:c>
      <x:c r="AA25" s="142" t="n">
        <x:v>10000</x:v>
      </x:c>
      <x:c r="AB25" s="142" t="n">
        <x:v>10000</x:v>
      </x:c>
    </x:row>
    <x:row r="26">
      <x:c r="V26" s="141" t="n">
        <x:v>45316</x:v>
      </x:c>
      <x:c r="W26" s="142" t="n">
        <x:v>40084.89</x:v>
      </x:c>
      <x:c r="X26" s="142" t="n">
        <x:v>40300.24</x:v>
      </x:c>
      <x:c r="Y26" s="142" t="n">
        <x:v>39550</x:v>
      </x:c>
      <x:c r="Z26" s="142" t="n">
        <x:v>39961.09</x:v>
      </x:c>
      <x:c r="AA26" s="142" t="n">
        <x:v>10000</x:v>
      </x:c>
      <x:c r="AB26" s="142" t="n">
        <x:v>10000</x:v>
      </x:c>
    </x:row>
    <x:row r="27">
      <x:c r="V27" s="141" t="n">
        <x:v>45317</x:v>
      </x:c>
      <x:c r="W27" s="142" t="n">
        <x:v>39961.09</x:v>
      </x:c>
      <x:c r="X27" s="142" t="n">
        <x:v>42246.82</x:v>
      </x:c>
      <x:c r="Y27" s="142" t="n">
        <x:v>39822.52</x:v>
      </x:c>
      <x:c r="Z27" s="142" t="n">
        <x:v>41823.51</x:v>
      </x:c>
      <x:c r="AA27" s="142" t="n">
        <x:v>10000</x:v>
      </x:c>
      <x:c r="AB27" s="142" t="n">
        <x:v>10000</x:v>
      </x:c>
    </x:row>
    <x:row r="28">
      <x:c r="V28" s="141" t="n">
        <x:v>45318</x:v>
      </x:c>
      <x:c r="W28" s="142" t="n">
        <x:v>41823.51</x:v>
      </x:c>
      <x:c r="X28" s="142" t="n">
        <x:v>42200</x:v>
      </x:c>
      <x:c r="Y28" s="142" t="n">
        <x:v>41394.34</x:v>
      </x:c>
      <x:c r="Z28" s="142" t="n">
        <x:v>42120.63</x:v>
      </x:c>
      <x:c r="AA28" s="142" t="n">
        <x:v>10000</x:v>
      </x:c>
      <x:c r="AB28" s="142" t="n">
        <x:v>10000</x:v>
      </x:c>
    </x:row>
    <x:row r="29">
      <x:c r="V29" s="141" t="n">
        <x:v>45319</x:v>
      </x:c>
      <x:c r="W29" s="142" t="n">
        <x:v>42120.63</x:v>
      </x:c>
      <x:c r="X29" s="142" t="n">
        <x:v>42842.68</x:v>
      </x:c>
      <x:c r="Y29" s="142" t="n">
        <x:v>41620.81</x:v>
      </x:c>
      <x:c r="Z29" s="142" t="n">
        <x:v>42031.06</x:v>
      </x:c>
      <x:c r="AA29" s="142" t="n">
        <x:v>10000</x:v>
      </x:c>
      <x:c r="AB29" s="142" t="n">
        <x:v>10000</x:v>
      </x:c>
    </x:row>
    <x:row r="30">
      <x:c r="V30" s="141" t="n">
        <x:v>45320</x:v>
      </x:c>
      <x:c r="W30" s="142" t="n">
        <x:v>42031.05</x:v>
      </x:c>
      <x:c r="X30" s="142" t="n">
        <x:v>43333</x:v>
      </x:c>
      <x:c r="Y30" s="142" t="n">
        <x:v>41804.88</x:v>
      </x:c>
      <x:c r="Z30" s="142" t="n">
        <x:v>43302.7</x:v>
      </x:c>
      <x:c r="AA30" s="142" t="n">
        <x:v>10000</x:v>
      </x:c>
      <x:c r="AB30" s="142" t="n">
        <x:v>10000</x:v>
      </x:c>
    </x:row>
    <x:row r="31">
      <x:c r="V31" s="141" t="n">
        <x:v>45321</x:v>
      </x:c>
      <x:c r="W31" s="142" t="n">
        <x:v>43302.71</x:v>
      </x:c>
      <x:c r="X31" s="142" t="n">
        <x:v>43882.36</x:v>
      </x:c>
      <x:c r="Y31" s="142" t="n">
        <x:v>42683.99</x:v>
      </x:c>
      <x:c r="Z31" s="142" t="n">
        <x:v>42941.1</x:v>
      </x:c>
      <x:c r="AA31" s="142" t="n">
        <x:v>10000</x:v>
      </x:c>
      <x:c r="AB31" s="142" t="n">
        <x:v>10000</x:v>
      </x:c>
    </x:row>
    <x:row r="32">
      <x:c r="V32" s="141" t="n">
        <x:v>45322</x:v>
      </x:c>
      <x:c r="W32" s="142" t="n">
        <x:v>42941.1</x:v>
      </x:c>
      <x:c r="X32" s="142" t="n">
        <x:v>43745.11</x:v>
      </x:c>
      <x:c r="Y32" s="142" t="n">
        <x:v>42276.84</x:v>
      </x:c>
      <x:c r="Z32" s="142" t="n">
        <x:v>42580</x:v>
      </x:c>
      <x:c r="AA32" s="142" t="n">
        <x:v>10000</x:v>
      </x:c>
      <x:c r="AB32" s="142" t="n">
        <x:v>10000</x:v>
      </x:c>
    </x:row>
    <x:row r="33">
      <x:c r="V33" s="141" t="n">
        <x:v>45323</x:v>
      </x:c>
      <x:c r="W33" s="142" t="n">
        <x:v>42580</x:v>
      </x:c>
      <x:c r="X33" s="142" t="n">
        <x:v>43285.13</x:v>
      </x:c>
      <x:c r="Y33" s="142" t="n">
        <x:v>41884.28</x:v>
      </x:c>
      <x:c r="Z33" s="142" t="n">
        <x:v>43082.94</x:v>
      </x:c>
      <x:c r="AA33" s="142" t="n">
        <x:v>10000</x:v>
      </x:c>
      <x:c r="AB33" s="142" t="n">
        <x:v>10000</x:v>
      </x:c>
    </x:row>
    <x:row r="34">
      <x:c r="V34" s="141" t="n">
        <x:v>45324</x:v>
      </x:c>
      <x:c r="W34" s="142" t="n">
        <x:v>43082.95</x:v>
      </x:c>
      <x:c r="X34" s="142" t="n">
        <x:v>43488</x:v>
      </x:c>
      <x:c r="Y34" s="142" t="n">
        <x:v>42546.79</x:v>
      </x:c>
      <x:c r="Z34" s="142" t="n">
        <x:v>43200</x:v>
      </x:c>
      <x:c r="AA34" s="142" t="n">
        <x:v>10000</x:v>
      </x:c>
      <x:c r="AB34" s="142" t="n">
        <x:v>10000</x:v>
      </x:c>
    </x:row>
    <x:row r="35">
      <x:c r="V35" s="141" t="n">
        <x:v>45325</x:v>
      </x:c>
      <x:c r="W35" s="142" t="n">
        <x:v>43199.99</x:v>
      </x:c>
      <x:c r="X35" s="142" t="n">
        <x:v>43380.01</x:v>
      </x:c>
      <x:c r="Y35" s="142" t="n">
        <x:v>42880</x:v>
      </x:c>
      <x:c r="Z35" s="142" t="n">
        <x:v>43011.09</x:v>
      </x:c>
      <x:c r="AA35" s="142" t="n">
        <x:v>10000</x:v>
      </x:c>
      <x:c r="AB35" s="142" t="n">
        <x:v>10000</x:v>
      </x:c>
    </x:row>
    <x:row r="36">
      <x:c r="V36" s="141" t="n">
        <x:v>45326</x:v>
      </x:c>
      <x:c r="W36" s="142" t="n">
        <x:v>43011.1</x:v>
      </x:c>
      <x:c r="X36" s="142" t="n">
        <x:v>43119.04</x:v>
      </x:c>
      <x:c r="Y36" s="142" t="n">
        <x:v>42222</x:v>
      </x:c>
      <x:c r="Z36" s="142" t="n">
        <x:v>42582.88</x:v>
      </x:c>
      <x:c r="AA36" s="142" t="n">
        <x:v>10000</x:v>
      </x:c>
      <x:c r="AB36" s="142" t="n">
        <x:v>10000</x:v>
      </x:c>
    </x:row>
    <x:row r="37">
      <x:c r="V37" s="141" t="n">
        <x:v>45327</x:v>
      </x:c>
      <x:c r="W37" s="142" t="n">
        <x:v>42582.88</x:v>
      </x:c>
      <x:c r="X37" s="142" t="n">
        <x:v>43569.76</x:v>
      </x:c>
      <x:c r="Y37" s="142" t="n">
        <x:v>42258.1</x:v>
      </x:c>
      <x:c r="Z37" s="142" t="n">
        <x:v>42708.7</x:v>
      </x:c>
      <x:c r="AA37" s="142" t="n">
        <x:v>10000</x:v>
      </x:c>
      <x:c r="AB37" s="142" t="n">
        <x:v>10000</x:v>
      </x:c>
    </x:row>
    <x:row r="38">
      <x:c r="V38" s="141" t="n">
        <x:v>45328</x:v>
      </x:c>
      <x:c r="W38" s="142" t="n">
        <x:v>42708.7</x:v>
      </x:c>
      <x:c r="X38" s="142" t="n">
        <x:v>43399.98</x:v>
      </x:c>
      <x:c r="Y38" s="142" t="n">
        <x:v>42574</x:v>
      </x:c>
      <x:c r="Z38" s="142" t="n">
        <x:v>43098.95</x:v>
      </x:c>
      <x:c r="AA38" s="142" t="n">
        <x:v>10000</x:v>
      </x:c>
      <x:c r="AB38" s="142" t="n">
        <x:v>10000</x:v>
      </x:c>
    </x:row>
    <x:row r="39">
      <x:c r="V39" s="141" t="n">
        <x:v>45329</x:v>
      </x:c>
      <x:c r="W39" s="142" t="n">
        <x:v>43098.96</x:v>
      </x:c>
      <x:c r="X39" s="142" t="n">
        <x:v>44396.5</x:v>
      </x:c>
      <x:c r="Y39" s="142" t="n">
        <x:v>42788</x:v>
      </x:c>
      <x:c r="Z39" s="142" t="n">
        <x:v>44349.6</x:v>
      </x:c>
      <x:c r="AA39" s="142" t="n">
        <x:v>10000</x:v>
      </x:c>
      <x:c r="AB39" s="142" t="n">
        <x:v>10000</x:v>
      </x:c>
    </x:row>
    <x:row r="40">
      <x:c r="V40" s="141" t="n">
        <x:v>45330</x:v>
      </x:c>
      <x:c r="W40" s="142" t="n">
        <x:v>44349.6</x:v>
      </x:c>
      <x:c r="X40" s="142" t="n">
        <x:v>45614.3</x:v>
      </x:c>
      <x:c r="Y40" s="142" t="n">
        <x:v>44331.1</x:v>
      </x:c>
      <x:c r="Z40" s="142" t="n">
        <x:v>45288.65</x:v>
      </x:c>
      <x:c r="AA40" s="142" t="n">
        <x:v>10000</x:v>
      </x:c>
      <x:c r="AB40" s="142" t="n">
        <x:v>10000</x:v>
      </x:c>
    </x:row>
    <x:row r="41">
      <x:c r="V41" s="141" t="n">
        <x:v>45331</x:v>
      </x:c>
      <x:c r="W41" s="142" t="n">
        <x:v>45288.66</x:v>
      </x:c>
      <x:c r="X41" s="142" t="n">
        <x:v>48200</x:v>
      </x:c>
      <x:c r="Y41" s="142" t="n">
        <x:v>45242.12</x:v>
      </x:c>
      <x:c r="Z41" s="142" t="n">
        <x:v>47132.77</x:v>
      </x:c>
      <x:c r="AA41" s="142" t="n">
        <x:v>10000</x:v>
      </x:c>
      <x:c r="AB41" s="142" t="n">
        <x:v>10000</x:v>
      </x:c>
    </x:row>
    <x:row r="42">
      <x:c r="V42" s="141" t="n">
        <x:v>45332</x:v>
      </x:c>
      <x:c r="W42" s="142" t="n">
        <x:v>47132.78</x:v>
      </x:c>
      <x:c r="X42" s="142" t="n">
        <x:v>48170</x:v>
      </x:c>
      <x:c r="Y42" s="142" t="n">
        <x:v>46800</x:v>
      </x:c>
      <x:c r="Z42" s="142" t="n">
        <x:v>47751.09</x:v>
      </x:c>
      <x:c r="AA42" s="142" t="n">
        <x:v>10000</x:v>
      </x:c>
      <x:c r="AB42" s="142" t="n">
        <x:v>10000</x:v>
      </x:c>
    </x:row>
    <x:row r="43">
      <x:c r="V43" s="141" t="n">
        <x:v>45333</x:v>
      </x:c>
      <x:c r="W43" s="142" t="n">
        <x:v>47751.08</x:v>
      </x:c>
      <x:c r="X43" s="142" t="n">
        <x:v>48592.66</x:v>
      </x:c>
      <x:c r="Y43" s="142" t="n">
        <x:v>47557.16</x:v>
      </x:c>
      <x:c r="Z43" s="142" t="n">
        <x:v>48299.99</x:v>
      </x:c>
      <x:c r="AA43" s="142" t="n">
        <x:v>10000</x:v>
      </x:c>
      <x:c r="AB43" s="142" t="n">
        <x:v>10000</x:v>
      </x:c>
    </x:row>
    <x:row r="44">
      <x:c r="V44" s="141" t="n">
        <x:v>45334</x:v>
      </x:c>
      <x:c r="W44" s="142" t="n">
        <x:v>48300</x:v>
      </x:c>
      <x:c r="X44" s="142" t="n">
        <x:v>50334.82</x:v>
      </x:c>
      <x:c r="Y44" s="142" t="n">
        <x:v>47710.01</x:v>
      </x:c>
      <x:c r="Z44" s="142" t="n">
        <x:v>49917.27</x:v>
      </x:c>
      <x:c r="AA44" s="142" t="n">
        <x:v>10000</x:v>
      </x:c>
      <x:c r="AB44" s="142" t="n">
        <x:v>10000</x:v>
      </x:c>
    </x:row>
    <x:row r="45">
      <x:c r="V45" s="141" t="n">
        <x:v>45335</x:v>
      </x:c>
      <x:c r="W45" s="142" t="n">
        <x:v>49917.28</x:v>
      </x:c>
      <x:c r="X45" s="142" t="n">
        <x:v>50368.61</x:v>
      </x:c>
      <x:c r="Y45" s="142" t="n">
        <x:v>48300.95</x:v>
      </x:c>
      <x:c r="Z45" s="142" t="n">
        <x:v>49699.59</x:v>
      </x:c>
      <x:c r="AA45" s="142" t="n">
        <x:v>10000</x:v>
      </x:c>
      <x:c r="AB45" s="142" t="n">
        <x:v>10000</x:v>
      </x:c>
    </x:row>
    <x:row r="46">
      <x:c r="V46" s="141" t="n">
        <x:v>45336</x:v>
      </x:c>
      <x:c r="W46" s="142" t="n">
        <x:v>49699.6</x:v>
      </x:c>
      <x:c r="X46" s="142" t="n">
        <x:v>52043.71</x:v>
      </x:c>
      <x:c r="Y46" s="142" t="n">
        <x:v>49225.01</x:v>
      </x:c>
      <x:c r="Z46" s="142" t="n">
        <x:v>51795.17</x:v>
      </x:c>
      <x:c r="AA46" s="142" t="n">
        <x:v>10000</x:v>
      </x:c>
      <x:c r="AB46" s="142" t="n">
        <x:v>10000</x:v>
      </x:c>
    </x:row>
    <x:row r="47">
      <x:c r="V47" s="141" t="n">
        <x:v>45337</x:v>
      </x:c>
      <x:c r="W47" s="142" t="n">
        <x:v>51795.17</x:v>
      </x:c>
      <x:c r="X47" s="142" t="n">
        <x:v>52816.62</x:v>
      </x:c>
      <x:c r="Y47" s="142" t="n">
        <x:v>51314</x:v>
      </x:c>
      <x:c r="Z47" s="142" t="n">
        <x:v>51880</x:v>
      </x:c>
      <x:c r="AA47" s="142" t="n">
        <x:v>10000</x:v>
      </x:c>
      <x:c r="AB47" s="142" t="n">
        <x:v>10000</x:v>
      </x:c>
    </x:row>
    <x:row r="48">
      <x:c r="V48" s="141" t="n">
        <x:v>45338</x:v>
      </x:c>
      <x:c r="W48" s="142" t="n">
        <x:v>51880.01</x:v>
      </x:c>
      <x:c r="X48" s="142" t="n">
        <x:v>52572.08</x:v>
      </x:c>
      <x:c r="Y48" s="142" t="n">
        <x:v>51566</x:v>
      </x:c>
      <x:c r="Z48" s="142" t="n">
        <x:v>52124.11</x:v>
      </x:c>
      <x:c r="AA48" s="142" t="n">
        <x:v>10000</x:v>
      </x:c>
      <x:c r="AB48" s="142" t="n">
        <x:v>10000</x:v>
      </x:c>
    </x:row>
    <x:row r="49">
      <x:c r="V49" s="141" t="n">
        <x:v>45339</x:v>
      </x:c>
      <x:c r="W49" s="142" t="n">
        <x:v>52124.1</x:v>
      </x:c>
      <x:c r="X49" s="142" t="n">
        <x:v>52162.82</x:v>
      </x:c>
      <x:c r="Y49" s="142" t="n">
        <x:v>50625</x:v>
      </x:c>
      <x:c r="Z49" s="142" t="n">
        <x:v>51642.64</x:v>
      </x:c>
      <x:c r="AA49" s="142" t="n">
        <x:v>10000</x:v>
      </x:c>
      <x:c r="AB49" s="142" t="n">
        <x:v>10000</x:v>
      </x:c>
    </x:row>
    <x:row r="50">
      <x:c r="V50" s="141" t="n">
        <x:v>45340</x:v>
      </x:c>
      <x:c r="W50" s="142" t="n">
        <x:v>51642.64</x:v>
      </x:c>
      <x:c r="X50" s="142" t="n">
        <x:v>52377</x:v>
      </x:c>
      <x:c r="Y50" s="142" t="n">
        <x:v>51163.28</x:v>
      </x:c>
      <x:c r="Z50" s="142" t="n">
        <x:v>52137.67</x:v>
      </x:c>
      <x:c r="AA50" s="142" t="n">
        <x:v>10000</x:v>
      </x:c>
      <x:c r="AB50" s="142" t="n">
        <x:v>10000</x:v>
      </x:c>
    </x:row>
    <x:row r="51">
      <x:c r="V51" s="141" t="n">
        <x:v>45341</x:v>
      </x:c>
      <x:c r="W51" s="142" t="n">
        <x:v>52137.68</x:v>
      </x:c>
      <x:c r="X51" s="142" t="n">
        <x:v>52488.77</x:v>
      </x:c>
      <x:c r="Y51" s="142" t="n">
        <x:v>51677</x:v>
      </x:c>
      <x:c r="Z51" s="142" t="n">
        <x:v>51774.73</x:v>
      </x:c>
      <x:c r="AA51" s="142" t="n">
        <x:v>10000</x:v>
      </x:c>
      <x:c r="AB51" s="142" t="n">
        <x:v>10000</x:v>
      </x:c>
    </x:row>
    <x:row r="52">
      <x:c r="V52" s="141" t="n">
        <x:v>45342</x:v>
      </x:c>
      <x:c r="W52" s="142" t="n">
        <x:v>51774.74</x:v>
      </x:c>
      <x:c r="X52" s="142" t="n">
        <x:v>52985</x:v>
      </x:c>
      <x:c r="Y52" s="142" t="n">
        <x:v>50760.37</x:v>
      </x:c>
      <x:c r="Z52" s="142" t="n">
        <x:v>52258.82</x:v>
      </x:c>
      <x:c r="AA52" s="142" t="n">
        <x:v>10000</x:v>
      </x:c>
      <x:c r="AB52" s="142" t="n">
        <x:v>10000</x:v>
      </x:c>
    </x:row>
    <x:row r="53">
      <x:c r="V53" s="141" t="n">
        <x:v>45343</x:v>
      </x:c>
      <x:c r="W53" s="142" t="n">
        <x:v>52258.82</x:v>
      </x:c>
      <x:c r="X53" s="142" t="n">
        <x:v>52366.8</x:v>
      </x:c>
      <x:c r="Y53" s="142" t="n">
        <x:v>50625</x:v>
      </x:c>
      <x:c r="Z53" s="142" t="n">
        <x:v>51849.39</x:v>
      </x:c>
      <x:c r="AA53" s="142" t="n">
        <x:v>10000</x:v>
      </x:c>
      <x:c r="AB53" s="142" t="n">
        <x:v>10000</x:v>
      </x:c>
    </x:row>
    <x:row r="54">
      <x:c r="V54" s="141" t="n">
        <x:v>45344</x:v>
      </x:c>
      <x:c r="W54" s="142" t="n">
        <x:v>51849.38</x:v>
      </x:c>
      <x:c r="X54" s="142" t="n">
        <x:v>52065.78</x:v>
      </x:c>
      <x:c r="Y54" s="142" t="n">
        <x:v>50940.78</x:v>
      </x:c>
      <x:c r="Z54" s="142" t="n">
        <x:v>51288.42</x:v>
      </x:c>
      <x:c r="AA54" s="142" t="n">
        <x:v>10000</x:v>
      </x:c>
      <x:c r="AB54" s="142" t="n">
        <x:v>10000</x:v>
      </x:c>
    </x:row>
    <x:row r="55">
      <x:c r="V55" s="141" t="n">
        <x:v>45345</x:v>
      </x:c>
      <x:c r="W55" s="142" t="n">
        <x:v>51288.42</x:v>
      </x:c>
      <x:c r="X55" s="142" t="n">
        <x:v>51548.54</x:v>
      </x:c>
      <x:c r="Y55" s="142" t="n">
        <x:v>50521</x:v>
      </x:c>
      <x:c r="Z55" s="142" t="n">
        <x:v>50744.15</x:v>
      </x:c>
      <x:c r="AA55" s="142" t="n">
        <x:v>10000</x:v>
      </x:c>
      <x:c r="AB55" s="142" t="n">
        <x:v>10000</x:v>
      </x:c>
    </x:row>
    <x:row r="56">
      <x:c r="V56" s="141" t="n">
        <x:v>45346</x:v>
      </x:c>
      <x:c r="W56" s="142" t="n">
        <x:v>50744.15</x:v>
      </x:c>
      <x:c r="X56" s="142" t="n">
        <x:v>51698</x:v>
      </x:c>
      <x:c r="Y56" s="142" t="n">
        <x:v>50585</x:v>
      </x:c>
      <x:c r="Z56" s="142" t="n">
        <x:v>51568.22</x:v>
      </x:c>
      <x:c r="AA56" s="142" t="n">
        <x:v>10000</x:v>
      </x:c>
      <x:c r="AB56" s="142" t="n">
        <x:v>10000</x:v>
      </x:c>
    </x:row>
    <x:row r="57">
      <x:c r="V57" s="141" t="n">
        <x:v>45347</x:v>
      </x:c>
      <x:c r="W57" s="142" t="n">
        <x:v>51568.21</x:v>
      </x:c>
      <x:c r="X57" s="142" t="n">
        <x:v>51958.55</x:v>
      </x:c>
      <x:c r="Y57" s="142" t="n">
        <x:v>51279.8</x:v>
      </x:c>
      <x:c r="Z57" s="142" t="n">
        <x:v>51728.85</x:v>
      </x:c>
      <x:c r="AA57" s="142" t="n">
        <x:v>10000</x:v>
      </x:c>
      <x:c r="AB57" s="142" t="n">
        <x:v>10000</x:v>
      </x:c>
    </x:row>
    <x:row r="58">
      <x:c r="V58" s="141" t="n">
        <x:v>45348</x:v>
      </x:c>
      <x:c r="W58" s="142" t="n">
        <x:v>51728.85</x:v>
      </x:c>
      <x:c r="X58" s="142" t="n">
        <x:v>54910</x:v>
      </x:c>
      <x:c r="Y58" s="142" t="n">
        <x:v>50901.44</x:v>
      </x:c>
      <x:c r="Z58" s="142" t="n">
        <x:v>54476.47</x:v>
      </x:c>
      <x:c r="AA58" s="142" t="n">
        <x:v>10000</x:v>
      </x:c>
      <x:c r="AB58" s="142" t="n">
        <x:v>10000</x:v>
      </x:c>
    </x:row>
    <x:row r="59">
      <x:c r="V59" s="141" t="n">
        <x:v>45349</x:v>
      </x:c>
      <x:c r="W59" s="142" t="n">
        <x:v>54476.48</x:v>
      </x:c>
      <x:c r="X59" s="142" t="n">
        <x:v>57588.15</x:v>
      </x:c>
      <x:c r="Y59" s="142" t="n">
        <x:v>54450.13</x:v>
      </x:c>
      <x:c r="Z59" s="142" t="n">
        <x:v>57037.34</x:v>
      </x:c>
      <x:c r="AA59" s="142" t="n">
        <x:v>10000</x:v>
      </x:c>
      <x:c r="AB59" s="142" t="n">
        <x:v>10000</x:v>
      </x:c>
    </x:row>
    <x:row r="60">
      <x:c r="V60" s="141" t="n">
        <x:v>45350</x:v>
      </x:c>
      <x:c r="W60" s="142" t="n">
        <x:v>57037.35</x:v>
      </x:c>
      <x:c r="X60" s="142" t="n">
        <x:v>64000</x:v>
      </x:c>
      <x:c r="Y60" s="142" t="n">
        <x:v>56691.85</x:v>
      </x:c>
      <x:c r="Z60" s="142" t="n">
        <x:v>62432.1</x:v>
      </x:c>
      <x:c r="AA60" s="142" t="n">
        <x:v>10000</x:v>
      </x:c>
      <x:c r="AB60" s="142" t="n">
        <x:v>10000</x:v>
      </x:c>
    </x:row>
    <x:row r="61">
      <x:c r="V61" s="141" t="n">
        <x:v>45351</x:v>
      </x:c>
      <x:c r="W61" s="142" t="n">
        <x:v>62432.11</x:v>
      </x:c>
      <x:c r="X61" s="142" t="n">
        <x:v>63676.35</x:v>
      </x:c>
      <x:c r="Y61" s="142" t="n">
        <x:v>60364.7</x:v>
      </x:c>
      <x:c r="Z61" s="142" t="n">
        <x:v>61130.98</x:v>
      </x:c>
      <x:c r="AA61" s="142" t="n">
        <x:v>10000</x:v>
      </x:c>
      <x:c r="AB61" s="142" t="n">
        <x:v>10000</x:v>
      </x:c>
    </x:row>
    <x:row r="62">
      <x:c r="V62" s="141" t="n">
        <x:v>45352</x:v>
      </x:c>
      <x:c r="W62" s="142" t="n">
        <x:v>61130.99</x:v>
      </x:c>
      <x:c r="X62" s="142" t="n">
        <x:v>63114.23</x:v>
      </x:c>
      <x:c r="Y62" s="142" t="n">
        <x:v>60777</x:v>
      </x:c>
      <x:c r="Z62" s="142" t="n">
        <x:v>62387.9</x:v>
      </x:c>
      <x:c r="AA62" s="142" t="n">
        <x:v>10000</x:v>
      </x:c>
      <x:c r="AB62" s="142" t="n">
        <x:v>10000</x:v>
      </x:c>
    </x:row>
    <x:row r="63">
      <x:c r="V63" s="141" t="n">
        <x:v>45353</x:v>
      </x:c>
      <x:c r="W63" s="142" t="n">
        <x:v>62387.9</x:v>
      </x:c>
      <x:c r="X63" s="142" t="n">
        <x:v>62433.19</x:v>
      </x:c>
      <x:c r="Y63" s="142" t="n">
        <x:v>61561.12</x:v>
      </x:c>
      <x:c r="Z63" s="142" t="n">
        <x:v>61987.28</x:v>
      </x:c>
      <x:c r="AA63" s="142" t="n">
        <x:v>10000</x:v>
      </x:c>
      <x:c r="AB63" s="142" t="n">
        <x:v>10000</x:v>
      </x:c>
    </x:row>
    <x:row r="64">
      <x:c r="V64" s="141" t="n">
        <x:v>45354</x:v>
      </x:c>
      <x:c r="W64" s="142" t="n">
        <x:v>61987.28</x:v>
      </x:c>
      <x:c r="X64" s="142" t="n">
        <x:v>63231.88</x:v>
      </x:c>
      <x:c r="Y64" s="142" t="n">
        <x:v>61320</x:v>
      </x:c>
      <x:c r="Z64" s="142" t="n">
        <x:v>63113.97</x:v>
      </x:c>
      <x:c r="AA64" s="142" t="n">
        <x:v>10000</x:v>
      </x:c>
      <x:c r="AB64" s="142" t="n">
        <x:v>10000</x:v>
      </x:c>
    </x:row>
    <x:row r="65">
      <x:c r="V65" s="141" t="n">
        <x:v>45355</x:v>
      </x:c>
      <x:c r="W65" s="142" t="n">
        <x:v>63113.97</x:v>
      </x:c>
      <x:c r="X65" s="142" t="n">
        <x:v>68499</x:v>
      </x:c>
      <x:c r="Y65" s="142" t="n">
        <x:v>62300</x:v>
      </x:c>
      <x:c r="Z65" s="142" t="n">
        <x:v>68245.71</x:v>
      </x:c>
      <x:c r="AA65" s="142" t="n">
        <x:v>10000</x:v>
      </x:c>
      <x:c r="AB65" s="142" t="n">
        <x:v>10000</x:v>
      </x:c>
    </x:row>
    <x:row r="66">
      <x:c r="V66" s="141" t="n">
        <x:v>45356</x:v>
      </x:c>
      <x:c r="W66" s="142" t="n">
        <x:v>68245.71</x:v>
      </x:c>
      <x:c r="X66" s="142" t="n">
        <x:v>69000</x:v>
      </x:c>
      <x:c r="Y66" s="142" t="n">
        <x:v>59005</x:v>
      </x:c>
      <x:c r="Z66" s="142" t="n">
        <x:v>63724.01</x:v>
      </x:c>
      <x:c r="AA66" s="142" t="n">
        <x:v>10000</x:v>
      </x:c>
      <x:c r="AB66" s="142" t="n">
        <x:v>10000</x:v>
      </x:c>
    </x:row>
    <x:row r="67">
      <x:c r="V67" s="141" t="n">
        <x:v>45357</x:v>
      </x:c>
      <x:c r="W67" s="142" t="n">
        <x:v>63724.01</x:v>
      </x:c>
      <x:c r="X67" s="142" t="n">
        <x:v>67641.1</x:v>
      </x:c>
      <x:c r="Y67" s="142" t="n">
        <x:v>62779.14</x:v>
      </x:c>
      <x:c r="Z67" s="142" t="n">
        <x:v>66074.04</x:v>
      </x:c>
      <x:c r="AA67" s="142" t="n">
        <x:v>10000</x:v>
      </x:c>
      <x:c r="AB67" s="142" t="n">
        <x:v>10000</x:v>
      </x:c>
    </x:row>
    <x:row r="68">
      <x:c r="V68" s="141" t="n">
        <x:v>45358</x:v>
      </x:c>
      <x:c r="W68" s="142" t="n">
        <x:v>66074.04</x:v>
      </x:c>
      <x:c r="X68" s="142" t="n">
        <x:v>67980</x:v>
      </x:c>
      <x:c r="Y68" s="142" t="n">
        <x:v>65551</x:v>
      </x:c>
      <x:c r="Z68" s="142" t="n">
        <x:v>66823.17</x:v>
      </x:c>
      <x:c r="AA68" s="142" t="n">
        <x:v>10000</x:v>
      </x:c>
      <x:c r="AB68" s="142" t="n">
        <x:v>10000</x:v>
      </x:c>
    </x:row>
    <x:row r="69">
      <x:c r="V69" s="141" t="n">
        <x:v>45359</x:v>
      </x:c>
      <x:c r="W69" s="142" t="n">
        <x:v>66823.18</x:v>
      </x:c>
      <x:c r="X69" s="142" t="n">
        <x:v>69990</x:v>
      </x:c>
      <x:c r="Y69" s="142" t="n">
        <x:v>66082.66</x:v>
      </x:c>
      <x:c r="Z69" s="142" t="n">
        <x:v>68124.19</x:v>
      </x:c>
      <x:c r="AA69" s="142" t="n">
        <x:v>10000</x:v>
      </x:c>
      <x:c r="AB69" s="142" t="n">
        <x:v>10000</x:v>
      </x:c>
    </x:row>
    <x:row r="70">
      <x:c r="V70" s="141" t="n">
        <x:v>45360</x:v>
      </x:c>
      <x:c r="W70" s="142" t="n">
        <x:v>68124.2</x:v>
      </x:c>
      <x:c r="X70" s="142" t="n">
        <x:v>68541.1</x:v>
      </x:c>
      <x:c r="Y70" s="142" t="n">
        <x:v>67861.1</x:v>
      </x:c>
      <x:c r="Z70" s="142" t="n">
        <x:v>68313.27</x:v>
      </x:c>
      <x:c r="AA70" s="142" t="n">
        <x:v>10000</x:v>
      </x:c>
      <x:c r="AB70" s="142" t="n">
        <x:v>10000</x:v>
      </x:c>
    </x:row>
    <x:row r="71">
      <x:c r="V71" s="141" t="n">
        <x:v>45361</x:v>
      </x:c>
      <x:c r="W71" s="142" t="n">
        <x:v>68313.28</x:v>
      </x:c>
      <x:c r="X71" s="142" t="n">
        <x:v>69887.61</x:v>
      </x:c>
      <x:c r="Y71" s="142" t="n">
        <x:v>68094.75</x:v>
      </x:c>
      <x:c r="Z71" s="142" t="n">
        <x:v>68955.88</x:v>
      </x:c>
      <x:c r="AA71" s="142" t="n">
        <x:v>10000</x:v>
      </x:c>
      <x:c r="AB71" s="142" t="n">
        <x:v>10000</x:v>
      </x:c>
    </x:row>
    <x:row r="72">
      <x:c r="V72" s="141" t="n">
        <x:v>45362</x:v>
      </x:c>
      <x:c r="W72" s="142" t="n">
        <x:v>68955.88</x:v>
      </x:c>
      <x:c r="X72" s="142" t="n">
        <x:v>72800</x:v>
      </x:c>
      <x:c r="Y72" s="142" t="n">
        <x:v>67024.96</x:v>
      </x:c>
      <x:c r="Z72" s="142" t="n">
        <x:v>72078.1</x:v>
      </x:c>
      <x:c r="AA72" s="142" t="n">
        <x:v>10000</x:v>
      </x:c>
      <x:c r="AB72" s="142" t="n">
        <x:v>10000</x:v>
      </x:c>
    </x:row>
    <x:row r="73">
      <x:c r="V73" s="141" t="n">
        <x:v>45363</x:v>
      </x:c>
      <x:c r="W73" s="142" t="n">
        <x:v>72078.1</x:v>
      </x:c>
      <x:c r="X73" s="142" t="n">
        <x:v>73000</x:v>
      </x:c>
      <x:c r="Y73" s="142" t="n">
        <x:v>68620.82</x:v>
      </x:c>
      <x:c r="Z73" s="142" t="n">
        <x:v>71452.01</x:v>
      </x:c>
      <x:c r="AA73" s="142" t="n">
        <x:v>10000</x:v>
      </x:c>
      <x:c r="AB73" s="142" t="n">
        <x:v>10000</x:v>
      </x:c>
    </x:row>
    <x:row r="74">
      <x:c r="V74" s="141" t="n">
        <x:v>45364</x:v>
      </x:c>
      <x:c r="W74" s="142" t="n">
        <x:v>71452</x:v>
      </x:c>
      <x:c r="X74" s="142" t="n">
        <x:v>73650.25</x:v>
      </x:c>
      <x:c r="Y74" s="142" t="n">
        <x:v>71333.31</x:v>
      </x:c>
      <x:c r="Z74" s="142" t="n">
        <x:v>73072.41</x:v>
      </x:c>
      <x:c r="AA74" s="142" t="n">
        <x:v>10000</x:v>
      </x:c>
      <x:c r="AB74" s="142" t="n">
        <x:v>10000</x:v>
      </x:c>
    </x:row>
    <x:row r="75">
      <x:c r="V75" s="141" t="n">
        <x:v>45365</x:v>
      </x:c>
      <x:c r="W75" s="142" t="n">
        <x:v>73072.4</x:v>
      </x:c>
      <x:c r="X75" s="142" t="n">
        <x:v>73777</x:v>
      </x:c>
      <x:c r="Y75" s="142" t="n">
        <x:v>68555</x:v>
      </x:c>
      <x:c r="Z75" s="142" t="n">
        <x:v>71388.94</x:v>
      </x:c>
      <x:c r="AA75" s="142" t="n">
        <x:v>10000</x:v>
      </x:c>
      <x:c r="AB75" s="142" t="n">
        <x:v>10000</x:v>
      </x:c>
    </x:row>
    <x:row r="76">
      <x:c r="V76" s="141" t="n">
        <x:v>45366</x:v>
      </x:c>
      <x:c r="W76" s="142" t="n">
        <x:v>71388.94</x:v>
      </x:c>
      <x:c r="X76" s="142" t="n">
        <x:v>72419.71</x:v>
      </x:c>
      <x:c r="Y76" s="142" t="n">
        <x:v>65600</x:v>
      </x:c>
      <x:c r="Z76" s="142" t="n">
        <x:v>69499.85</x:v>
      </x:c>
      <x:c r="AA76" s="142" t="n">
        <x:v>10000</x:v>
      </x:c>
      <x:c r="AB76" s="142" t="n">
        <x:v>10000</x:v>
      </x:c>
    </x:row>
    <x:row r="77">
      <x:c r="V77" s="141" t="n">
        <x:v>45367</x:v>
      </x:c>
      <x:c r="W77" s="142" t="n">
        <x:v>69499.84</x:v>
      </x:c>
      <x:c r="X77" s="142" t="n">
        <x:v>70043</x:v>
      </x:c>
      <x:c r="Y77" s="142" t="n">
        <x:v>64780</x:v>
      </x:c>
      <x:c r="Z77" s="142" t="n">
        <x:v>65300.63</x:v>
      </x:c>
      <x:c r="AA77" s="142" t="n">
        <x:v>10000</x:v>
      </x:c>
      <x:c r="AB77" s="142" t="n">
        <x:v>10000</x:v>
      </x:c>
    </x:row>
    <x:row r="78">
      <x:c r="V78" s="141" t="n">
        <x:v>45368</x:v>
      </x:c>
      <x:c r="W78" s="142" t="n">
        <x:v>65300.64</x:v>
      </x:c>
      <x:c r="X78" s="142" t="n">
        <x:v>68904.4</x:v>
      </x:c>
      <x:c r="Y78" s="142" t="n">
        <x:v>64533</x:v>
      </x:c>
      <x:c r="Z78" s="142" t="n">
        <x:v>68393.48</x:v>
      </x:c>
      <x:c r="AA78" s="142" t="n">
        <x:v>10000</x:v>
      </x:c>
      <x:c r="AB78" s="142" t="n">
        <x:v>10000</x:v>
      </x:c>
    </x:row>
    <x:row r="79">
      <x:c r="V79" s="141" t="n">
        <x:v>45369</x:v>
      </x:c>
      <x:c r="W79" s="142" t="n">
        <x:v>68393.47</x:v>
      </x:c>
      <x:c r="X79" s="142" t="n">
        <x:v>68956</x:v>
      </x:c>
      <x:c r="Y79" s="142" t="n">
        <x:v>66565.2</x:v>
      </x:c>
      <x:c r="Z79" s="142" t="n">
        <x:v>67609.99</x:v>
      </x:c>
      <x:c r="AA79" s="142" t="n">
        <x:v>10000</x:v>
      </x:c>
      <x:c r="AB79" s="142" t="n">
        <x:v>10000</x:v>
      </x:c>
    </x:row>
    <x:row r="80">
      <x:c r="V80" s="141" t="n">
        <x:v>45370</x:v>
      </x:c>
      <x:c r="W80" s="142" t="n">
        <x:v>67610</x:v>
      </x:c>
      <x:c r="X80" s="142" t="n">
        <x:v>68124.11</x:v>
      </x:c>
      <x:c r="Y80" s="142" t="n">
        <x:v>61555</x:v>
      </x:c>
      <x:c r="Z80" s="142" t="n">
        <x:v>61937.4</x:v>
      </x:c>
      <x:c r="AA80" s="142" t="n">
        <x:v>10000</x:v>
      </x:c>
      <x:c r="AB80" s="142" t="n">
        <x:v>10000</x:v>
      </x:c>
    </x:row>
    <x:row r="81">
      <x:c r="V81" s="141" t="n">
        <x:v>45371</x:v>
      </x:c>
      <x:c r="W81" s="142" t="n">
        <x:v>61937.41</x:v>
      </x:c>
      <x:c r="X81" s="142" t="n">
        <x:v>68100</x:v>
      </x:c>
      <x:c r="Y81" s="142" t="n">
        <x:v>60775</x:v>
      </x:c>
      <x:c r="Z81" s="142" t="n">
        <x:v>67840.51</x:v>
      </x:c>
      <x:c r="AA81" s="142" t="n">
        <x:v>10000</x:v>
      </x:c>
      <x:c r="AB81" s="142" t="n">
        <x:v>10000</x:v>
      </x:c>
    </x:row>
    <x:row r="82">
      <x:c r="V82" s="141" t="n">
        <x:v>45372</x:v>
      </x:c>
      <x:c r="W82" s="142" t="n">
        <x:v>67840.51</x:v>
      </x:c>
      <x:c r="X82" s="142" t="n">
        <x:v>68240.47</x:v>
      </x:c>
      <x:c r="Y82" s="142" t="n">
        <x:v>64529.01</x:v>
      </x:c>
      <x:c r="Z82" s="142" t="n">
        <x:v>65501.27</x:v>
      </x:c>
      <x:c r="AA82" s="142" t="n">
        <x:v>9645.18537522787</x:v>
      </x:c>
      <x:c r="AB82" s="142" t="n">
        <x:v>9645.18537522787</x:v>
      </x:c>
    </x:row>
    <x:row r="83">
      <x:c r="V83" s="141" t="n">
        <x:v>45373</x:v>
      </x:c>
      <x:c r="W83" s="142" t="n">
        <x:v>65501.28</x:v>
      </x:c>
      <x:c r="X83" s="142" t="n">
        <x:v>66649.62</x:v>
      </x:c>
      <x:c r="Y83" s="142" t="n">
        <x:v>62260</x:v>
      </x:c>
      <x:c r="Z83" s="142" t="n">
        <x:v>63796.64</x:v>
      </x:c>
      <x:c r="AA83" s="142" t="n">
        <x:v>9393.915153350115</x:v>
      </x:c>
      <x:c r="AB83" s="142" t="n">
        <x:v>9393.915153350115</x:v>
      </x:c>
    </x:row>
    <x:row r="84">
      <x:c r="V84" s="141" t="n">
        <x:v>45374</x:v>
      </x:c>
      <x:c r="W84" s="142" t="n">
        <x:v>63796.64</x:v>
      </x:c>
      <x:c r="X84" s="142" t="n">
        <x:v>65999</x:v>
      </x:c>
      <x:c r="Y84" s="142" t="n">
        <x:v>63000</x:v>
      </x:c>
      <x:c r="Z84" s="142" t="n">
        <x:v>63990.01</x:v>
      </x:c>
      <x:c r="AA84" s="142" t="n">
        <x:v>9422.418771615958</x:v>
      </x:c>
      <x:c r="AB84" s="142" t="n">
        <x:v>9422.418771615958</x:v>
      </x:c>
    </x:row>
    <x:row r="85">
      <x:c r="V85" s="141" t="n">
        <x:v>45375</x:v>
      </x:c>
      <x:c r="W85" s="142" t="n">
        <x:v>63990.02</x:v>
      </x:c>
      <x:c r="X85" s="142" t="n">
        <x:v>67628.69</x:v>
      </x:c>
      <x:c r="Y85" s="142" t="n">
        <x:v>63772.29</x:v>
      </x:c>
      <x:c r="Z85" s="142" t="n">
        <x:v>67209.99</x:v>
      </x:c>
      <x:c r="AA85" s="142" t="n">
        <x:v>9897.058481724269</x:v>
      </x:c>
      <x:c r="AB85" s="142" t="n">
        <x:v>9897.058481724269</x:v>
      </x:c>
    </x:row>
    <x:row r="86">
      <x:c r="V86" s="141" t="n">
        <x:v>45376</x:v>
      </x:c>
      <x:c r="W86" s="142" t="n">
        <x:v>67210</x:v>
      </x:c>
      <x:c r="X86" s="142" t="n">
        <x:v>71150</x:v>
      </x:c>
      <x:c r="Y86" s="142" t="n">
        <x:v>66385.06</x:v>
      </x:c>
      <x:c r="Z86" s="142" t="n">
        <x:v>69880.01</x:v>
      </x:c>
      <x:c r="AA86" s="142" t="n">
        <x:v>10290.631584284965</x:v>
      </x:c>
      <x:c r="AB86" s="142" t="n">
        <x:v>10290.631584284965</x:v>
      </x:c>
    </x:row>
    <x:row r="87">
      <x:c r="V87" s="141" t="n">
        <x:v>45377</x:v>
      </x:c>
      <x:c r="W87" s="142" t="n">
        <x:v>69880</x:v>
      </x:c>
      <x:c r="X87" s="142" t="n">
        <x:v>71561.1</x:v>
      </x:c>
      <x:c r="Y87" s="142" t="n">
        <x:v>69280</x:v>
      </x:c>
      <x:c r="Z87" s="142" t="n">
        <x:v>69988</x:v>
      </x:c>
      <x:c r="AA87" s="142" t="n">
        <x:v>10306.549801880912</x:v>
      </x:c>
      <x:c r="AB87" s="142" t="n">
        <x:v>10306.549801880912</x:v>
      </x:c>
    </x:row>
    <x:row r="88">
      <x:c r="V88" s="141" t="n">
        <x:v>45378</x:v>
      </x:c>
      <x:c r="W88" s="142" t="n">
        <x:v>69987.99</x:v>
      </x:c>
      <x:c r="X88" s="142" t="n">
        <x:v>71769.54</x:v>
      </x:c>
      <x:c r="Y88" s="142" t="n">
        <x:v>68359.18</x:v>
      </x:c>
      <x:c r="Z88" s="142" t="n">
        <x:v>69469.99</x:v>
      </x:c>
      <x:c r="AA88" s="142" t="n">
        <x:v>10230.192769777233</x:v>
      </x:c>
      <x:c r="AB88" s="142" t="n">
        <x:v>10230.192769777233</x:v>
      </x:c>
    </x:row>
    <x:row r="89">
      <x:c r="V89" s="141" t="n">
        <x:v>45379</x:v>
      </x:c>
      <x:c r="W89" s="142" t="n">
        <x:v>69469.99</x:v>
      </x:c>
      <x:c r="X89" s="142" t="n">
        <x:v>71552.06</x:v>
      </x:c>
      <x:c r="Y89" s="142" t="n">
        <x:v>68903.62</x:v>
      </x:c>
      <x:c r="Z89" s="142" t="n">
        <x:v>70780.6</x:v>
      </x:c>
      <x:c r="AA89" s="142" t="n">
        <x:v>10423.382649983028</x:v>
      </x:c>
      <x:c r="AB89" s="142" t="n">
        <x:v>10423.382649983028</x:v>
      </x:c>
    </x:row>
    <x:row r="90">
      <x:c r="V90" s="141" t="n">
        <x:v>45380</x:v>
      </x:c>
      <x:c r="W90" s="142" t="n">
        <x:v>70780.6</x:v>
      </x:c>
      <x:c r="X90" s="142" t="n">
        <x:v>70916.16</x:v>
      </x:c>
      <x:c r="Y90" s="142" t="n">
        <x:v>69009</x:v>
      </x:c>
      <x:c r="Z90" s="142" t="n">
        <x:v>69850.54</x:v>
      </x:c>
      <x:c r="AA90" s="142" t="n">
        <x:v>10286.287572130575</x:v>
      </x:c>
      <x:c r="AB90" s="142" t="n">
        <x:v>10286.287572130575</x:v>
      </x:c>
    </x:row>
    <x:row r="91">
      <x:c r="V91" s="141" t="n">
        <x:v>45381</x:v>
      </x:c>
      <x:c r="W91" s="142" t="n">
        <x:v>69850.53</x:v>
      </x:c>
      <x:c r="X91" s="142" t="n">
        <x:v>70321.1</x:v>
      </x:c>
      <x:c r="Y91" s="142" t="n">
        <x:v>69540</x:v>
      </x:c>
      <x:c r="Z91" s="142" t="n">
        <x:v>69582.18</x:v>
      </x:c>
      <x:c r="AA91" s="142" t="n">
        <x:v>10246.73008649257</x:v>
      </x:c>
      <x:c r="AB91" s="142" t="n">
        <x:v>10246.73008649257</x:v>
      </x:c>
    </x:row>
    <x:row r="92">
      <x:c r="V92" s="141" t="n">
        <x:v>45382</x:v>
      </x:c>
      <x:c r="W92" s="142" t="n">
        <x:v>69582.17</x:v>
      </x:c>
      <x:c r="X92" s="142" t="n">
        <x:v>71366</x:v>
      </x:c>
      <x:c r="Y92" s="142" t="n">
        <x:v>69562.99</x:v>
      </x:c>
      <x:c r="Z92" s="142" t="n">
        <x:v>71280.01</x:v>
      </x:c>
      <x:c r="AA92" s="142" t="n">
        <x:v>10496.99795741512</x:v>
      </x:c>
      <x:c r="AB92" s="142" t="n">
        <x:v>10496.99795741512</x:v>
      </x:c>
    </x:row>
    <x:row r="93">
      <x:c r="V93" s="141" t="n">
        <x:v>45383</x:v>
      </x:c>
      <x:c r="W93" s="142" t="n">
        <x:v>71280</x:v>
      </x:c>
      <x:c r="X93" s="142" t="n">
        <x:v>71288.23</x:v>
      </x:c>
      <x:c r="Y93" s="142" t="n">
        <x:v>68062.86</x:v>
      </x:c>
      <x:c r="Z93" s="142" t="n">
        <x:v>69649.8</x:v>
      </x:c>
      <x:c r="AA93" s="142" t="n">
        <x:v>10256.697582314757</x:v>
      </x:c>
      <x:c r="AB93" s="142" t="n">
        <x:v>10256.697582314757</x:v>
      </x:c>
    </x:row>
    <x:row r="94">
      <x:c r="V94" s="141" t="n">
        <x:v>45384</x:v>
      </x:c>
      <x:c r="W94" s="142" t="n">
        <x:v>69649.81</x:v>
      </x:c>
      <x:c r="X94" s="142" t="n">
        <x:v>69674.23</x:v>
      </x:c>
      <x:c r="Y94" s="142" t="n">
        <x:v>64550</x:v>
      </x:c>
      <x:c r="Z94" s="142" t="n">
        <x:v>65463.99</x:v>
      </x:c>
      <x:c r="AA94" s="142" t="n">
        <x:v>9639.690133520518</x:v>
      </x:c>
      <x:c r="AB94" s="142" t="n">
        <x:v>9639.690133520518</x:v>
      </x:c>
    </x:row>
    <x:row r="95">
      <x:c r="V95" s="141" t="n">
        <x:v>45385</x:v>
      </x:c>
      <x:c r="W95" s="142" t="n">
        <x:v>65463.99</x:v>
      </x:c>
      <x:c r="X95" s="142" t="n">
        <x:v>66903.63</x:v>
      </x:c>
      <x:c r="Y95" s="142" t="n">
        <x:v>64493.07</x:v>
      </x:c>
      <x:c r="Z95" s="142" t="n">
        <x:v>65963.28</x:v>
      </x:c>
      <x:c r="AA95" s="142" t="n">
        <x:v>9713.287752406342</x:v>
      </x:c>
      <x:c r="AB95" s="142" t="n">
        <x:v>9713.287752406342</x:v>
      </x:c>
    </x:row>
    <x:row r="96">
      <x:c r="V96" s="141" t="n">
        <x:v>45386</x:v>
      </x:c>
      <x:c r="W96" s="142" t="n">
        <x:v>65963.27</x:v>
      </x:c>
      <x:c r="X96" s="142" t="n">
        <x:v>69309.91</x:v>
      </x:c>
      <x:c r="Y96" s="142" t="n">
        <x:v>65064.52</x:v>
      </x:c>
      <x:c r="Z96" s="142" t="n">
        <x:v>68487.79</x:v>
      </x:c>
      <x:c r="AA96" s="142" t="n">
        <x:v>10085.412018571205</x:v>
      </x:c>
      <x:c r="AB96" s="142" t="n">
        <x:v>10085.412018571205</x:v>
      </x:c>
    </x:row>
    <x:row r="97">
      <x:c r="V97" s="141" t="n">
        <x:v>45387</x:v>
      </x:c>
      <x:c r="W97" s="142" t="n">
        <x:v>68487.8</x:v>
      </x:c>
      <x:c r="X97" s="142" t="n">
        <x:v>68756.67</x:v>
      </x:c>
      <x:c r="Y97" s="142" t="n">
        <x:v>65952.56</x:v>
      </x:c>
      <x:c r="Z97" s="142" t="n">
        <x:v>67820.62</x:v>
      </x:c>
      <x:c r="AA97" s="142" t="n">
        <x:v>9987.068123456029</x:v>
      </x:c>
      <x:c r="AB97" s="142" t="n">
        <x:v>9987.068123456029</x:v>
      </x:c>
    </x:row>
    <x:row r="98">
      <x:c r="V98" s="141" t="n">
        <x:v>45388</x:v>
      </x:c>
      <x:c r="W98" s="142" t="n">
        <x:v>67820.63</x:v>
      </x:c>
      <x:c r="X98" s="142" t="n">
        <x:v>69692</x:v>
      </x:c>
      <x:c r="Y98" s="142" t="n">
        <x:v>67447.83</x:v>
      </x:c>
      <x:c r="Z98" s="142" t="n">
        <x:v>68896</x:v>
      </x:c>
      <x:c r="AA98" s="142" t="n">
        <x:v>10145.58403083939</x:v>
      </x:c>
      <x:c r="AB98" s="142" t="n">
        <x:v>10145.58403083939</x:v>
      </x:c>
    </x:row>
    <x:row r="99">
      <x:c r="V99" s="141" t="n">
        <x:v>45389</x:v>
      </x:c>
      <x:c r="W99" s="142" t="n">
        <x:v>68896</x:v>
      </x:c>
      <x:c r="X99" s="142" t="n">
        <x:v>70326.29</x:v>
      </x:c>
      <x:c r="Y99" s="142" t="n">
        <x:v>68824</x:v>
      </x:c>
      <x:c r="Z99" s="142" t="n">
        <x:v>69360.39</x:v>
      </x:c>
      <x:c r="AA99" s="142" t="n">
        <x:v>10214.037230852186</x:v>
      </x:c>
      <x:c r="AB99" s="142" t="n">
        <x:v>10214.037230852186</x:v>
      </x:c>
    </x:row>
    <x:row r="100">
      <x:c r="V100" s="141" t="n">
        <x:v>45390</x:v>
      </x:c>
      <x:c r="W100" s="142" t="n">
        <x:v>69360.38</x:v>
      </x:c>
      <x:c r="X100" s="142" t="n">
        <x:v>72797.99</x:v>
      </x:c>
      <x:c r="Y100" s="142" t="n">
        <x:v>69043.24</x:v>
      </x:c>
      <x:c r="Z100" s="142" t="n">
        <x:v>71620</x:v>
      </x:c>
      <x:c r="AA100" s="142" t="n">
        <x:v>10547.114031129779</x:v>
      </x:c>
      <x:c r="AB100" s="142" t="n">
        <x:v>10547.114031129779</x:v>
      </x:c>
    </x:row>
    <x:row r="101">
      <x:c r="V101" s="141" t="n">
        <x:v>45391</x:v>
      </x:c>
      <x:c r="W101" s="142" t="n">
        <x:v>71620</x:v>
      </x:c>
      <x:c r="X101" s="142" t="n">
        <x:v>71758.19</x:v>
      </x:c>
      <x:c r="Y101" s="142" t="n">
        <x:v>68210</x:v>
      </x:c>
      <x:c r="Z101" s="142" t="n">
        <x:v>69146</x:v>
      </x:c>
      <x:c r="AA101" s="142" t="n">
        <x:v>10182.435168898348</x:v>
      </x:c>
      <x:c r="AB101" s="142" t="n">
        <x:v>10182.435168898348</x:v>
      </x:c>
    </x:row>
    <x:row r="102">
      <x:c r="V102" s="141" t="n">
        <x:v>45392</x:v>
      </x:c>
      <x:c r="W102" s="142" t="n">
        <x:v>69146</x:v>
      </x:c>
      <x:c r="X102" s="142" t="n">
        <x:v>71172.08</x:v>
      </x:c>
      <x:c r="Y102" s="142" t="n">
        <x:v>67518</x:v>
      </x:c>
      <x:c r="Z102" s="142" t="n">
        <x:v>70631.08</x:v>
      </x:c>
      <x:c r="AA102" s="142" t="n">
        <x:v>10401.342721332727</x:v>
      </x:c>
      <x:c r="AB102" s="142" t="n">
        <x:v>10401.342721332727</x:v>
      </x:c>
    </x:row>
    <x:row r="103">
      <x:c r="V103" s="141" t="n">
        <x:v>45393</x:v>
      </x:c>
      <x:c r="W103" s="142" t="n">
        <x:v>70631.08</x:v>
      </x:c>
      <x:c r="X103" s="142" t="n">
        <x:v>71305.89</x:v>
      </x:c>
      <x:c r="Y103" s="142" t="n">
        <x:v>69567.21</x:v>
      </x:c>
      <x:c r="Z103" s="142" t="n">
        <x:v>70006.23</x:v>
      </x:c>
      <x:c r="AA103" s="142" t="n">
        <x:v>10309.23698686817</x:v>
      </x:c>
      <x:c r="AB103" s="142" t="n">
        <x:v>10309.23698686817</x:v>
      </x:c>
    </x:row>
    <x:row r="104">
      <x:c r="V104" s="141" t="n">
        <x:v>45394</x:v>
      </x:c>
      <x:c r="W104" s="142" t="n">
        <x:v>70006.22</x:v>
      </x:c>
      <x:c r="X104" s="142" t="n">
        <x:v>71227.46</x:v>
      </x:c>
      <x:c r="Y104" s="142" t="n">
        <x:v>65086.86</x:v>
      </x:c>
      <x:c r="Z104" s="142" t="n">
        <x:v>67116.52</x:v>
      </x:c>
      <x:c r="AA104" s="142" t="n">
        <x:v>9883.280578226786</x:v>
      </x:c>
      <x:c r="AB104" s="142" t="n">
        <x:v>9883.280578226786</x:v>
      </x:c>
    </x:row>
    <x:row r="105">
      <x:c r="V105" s="141" t="n">
        <x:v>45395</x:v>
      </x:c>
      <x:c r="W105" s="142" t="n">
        <x:v>67116.52</x:v>
      </x:c>
      <x:c r="X105" s="142" t="n">
        <x:v>67929</x:v>
      </x:c>
      <x:c r="Y105" s="142" t="n">
        <x:v>60660.57</x:v>
      </x:c>
      <x:c r="Z105" s="142" t="n">
        <x:v>63924.51</x:v>
      </x:c>
      <x:c r="AA105" s="142" t="n">
        <x:v>9412.76377344451</x:v>
      </x:c>
      <x:c r="AB105" s="142" t="n">
        <x:v>9412.76377344451</x:v>
      </x:c>
    </x:row>
    <x:row r="106">
      <x:c r="V106" s="141" t="n">
        <x:v>45396</x:v>
      </x:c>
      <x:c r="W106" s="142" t="n">
        <x:v>63924.52</x:v>
      </x:c>
      <x:c r="X106" s="142" t="n">
        <x:v>65840</x:v>
      </x:c>
      <x:c r="Y106" s="142" t="n">
        <x:v>62134</x:v>
      </x:c>
      <x:c r="Z106" s="142" t="n">
        <x:v>65661.84</x:v>
      </x:c>
      <x:c r="AA106" s="142" t="n">
        <x:v>9403.342482242542</x:v>
      </x:c>
      <x:c r="AB106" s="142" t="n">
        <x:v>9668.854124180376</x:v>
      </x:c>
    </x:row>
    <x:row r="107">
      <x:c r="V107" s="141" t="n">
        <x:v>45397</x:v>
      </x:c>
      <x:c r="W107" s="142" t="n">
        <x:v>65661.85</x:v>
      </x:c>
      <x:c r="X107" s="142" t="n">
        <x:v>66867.07</x:v>
      </x:c>
      <x:c r="Y107" s="142" t="n">
        <x:v>62274.4</x:v>
      </x:c>
      <x:c r="Z107" s="142" t="n">
        <x:v>63419.99</x:v>
      </x:c>
      <x:c r="AA107" s="142" t="n">
        <x:v>9403.342482242542</x:v>
      </x:c>
      <x:c r="AB107" s="142" t="n">
        <x:v>9338.395228750493</x:v>
      </x:c>
    </x:row>
    <x:row r="108">
      <x:c r="V108" s="141" t="n">
        <x:v>45398</x:v>
      </x:c>
      <x:c r="W108" s="142" t="n">
        <x:v>63419.99</x:v>
      </x:c>
      <x:c r="X108" s="142" t="n">
        <x:v>64365</x:v>
      </x:c>
      <x:c r="Y108" s="142" t="n">
        <x:v>61600</x:v>
      </x:c>
      <x:c r="Z108" s="142" t="n">
        <x:v>63793.39</x:v>
      </x:c>
      <x:c r="AA108" s="142" t="n">
        <x:v>9403.342482242542</x:v>
      </x:c>
      <x:c r="AB108" s="142" t="n">
        <x:v>9393.436088555349</x:v>
      </x:c>
    </x:row>
    <x:row r="109">
      <x:c r="V109" s="141" t="n">
        <x:v>45399</x:v>
      </x:c>
      <x:c r="W109" s="142" t="n">
        <x:v>63793.4</x:v>
      </x:c>
      <x:c r="X109" s="142" t="n">
        <x:v>64499</x:v>
      </x:c>
      <x:c r="Y109" s="142" t="n">
        <x:v>59678.16</x:v>
      </x:c>
      <x:c r="Z109" s="142" t="n">
        <x:v>61277.37</x:v>
      </x:c>
      <x:c r="AA109" s="142" t="n">
        <x:v>9403.342482242542</x:v>
      </x:c>
      <x:c r="AB109" s="142" t="n">
        <x:v>9022.563287038969</x:v>
      </x:c>
    </x:row>
    <x:row r="110">
      <x:c r="V110" s="141" t="n">
        <x:v>45400</x:v>
      </x:c>
      <x:c r="W110" s="142" t="n">
        <x:v>61277.38</x:v>
      </x:c>
      <x:c r="X110" s="142" t="n">
        <x:v>64117.09</x:v>
      </x:c>
      <x:c r="Y110" s="142" t="n">
        <x:v>60803.35</x:v>
      </x:c>
      <x:c r="Z110" s="142" t="n">
        <x:v>63470.08</x:v>
      </x:c>
      <x:c r="AA110" s="142" t="n">
        <x:v>9403.342482242542</x:v>
      </x:c>
      <x:c r="AB110" s="142" t="n">
        <x:v>9345.778722771985</x:v>
      </x:c>
    </x:row>
    <x:row r="111">
      <x:c r="V111" s="141" t="n">
        <x:v>45401</x:v>
      </x:c>
      <x:c r="W111" s="142" t="n">
        <x:v>63470.09</x:v>
      </x:c>
      <x:c r="X111" s="142" t="n">
        <x:v>65450</x:v>
      </x:c>
      <x:c r="Y111" s="142" t="n">
        <x:v>59600.01</x:v>
      </x:c>
      <x:c r="Z111" s="142" t="n">
        <x:v>63818.01</x:v>
      </x:c>
      <x:c r="AA111" s="142" t="n">
        <x:v>9403.342482242542</x:v>
      </x:c>
      <x:c r="AB111" s="142" t="n">
        <x:v>9397.065188631395</x:v>
      </x:c>
    </x:row>
    <x:row r="112">
      <x:c r="V112" s="141" t="n">
        <x:v>45402</x:v>
      </x:c>
      <x:c r="W112" s="142" t="n">
        <x:v>63818.01</x:v>
      </x:c>
      <x:c r="X112" s="142" t="n">
        <x:v>65419</x:v>
      </x:c>
      <x:c r="Y112" s="142" t="n">
        <x:v>63090.07</x:v>
      </x:c>
      <x:c r="Z112" s="142" t="n">
        <x:v>64940.59</x:v>
      </x:c>
      <x:c r="AA112" s="142" t="n">
        <x:v>9403.342482242542</x:v>
      </x:c>
      <x:c r="AB112" s="142" t="n">
        <x:v>9562.538590880287</x:v>
      </x:c>
    </x:row>
    <x:row r="113">
      <x:c r="V113" s="141" t="n">
        <x:v>45403</x:v>
      </x:c>
      <x:c r="W113" s="142" t="n">
        <x:v>64940.58</x:v>
      </x:c>
      <x:c r="X113" s="142" t="n">
        <x:v>65695.56</x:v>
      </x:c>
      <x:c r="Y113" s="142" t="n">
        <x:v>64237.5</x:v>
      </x:c>
      <x:c r="Z113" s="142" t="n">
        <x:v>64941.15</x:v>
      </x:c>
      <x:c r="AA113" s="142" t="n">
        <x:v>9403.342482242542</x:v>
      </x:c>
      <x:c r="AB113" s="142" t="n">
        <x:v>9562.62113742954</x:v>
      </x:c>
    </x:row>
    <x:row r="114">
      <x:c r="V114" s="141" t="n">
        <x:v>45404</x:v>
      </x:c>
      <x:c r="W114" s="142" t="n">
        <x:v>64941.15</x:v>
      </x:c>
      <x:c r="X114" s="142" t="n">
        <x:v>67232.35</x:v>
      </x:c>
      <x:c r="Y114" s="142" t="n">
        <x:v>64500</x:v>
      </x:c>
      <x:c r="Z114" s="142" t="n">
        <x:v>66819.32</x:v>
      </x:c>
      <x:c r="AA114" s="142" t="n">
        <x:v>9403.342482242542</x:v>
      </x:c>
      <x:c r="AB114" s="142" t="n">
        <x:v>9839.471945302299</x:v>
      </x:c>
    </x:row>
    <x:row r="115">
      <x:c r="V115" s="141" t="n">
        <x:v>45405</x:v>
      </x:c>
      <x:c r="W115" s="142" t="n">
        <x:v>66819.32</x:v>
      </x:c>
      <x:c r="X115" s="142" t="n">
        <x:v>67183.01</x:v>
      </x:c>
      <x:c r="Y115" s="142" t="n">
        <x:v>65765.81</x:v>
      </x:c>
      <x:c r="Z115" s="142" t="n">
        <x:v>66414</x:v>
      </x:c>
      <x:c r="AA115" s="142" t="n">
        <x:v>9332.6833794561</x:v>
      </x:c>
      <x:c r="AB115" s="142" t="n">
        <x:v>9779.725932190075</x:v>
      </x:c>
    </x:row>
    <x:row r="116">
      <x:c r="V116" s="141" t="n">
        <x:v>45406</x:v>
      </x:c>
      <x:c r="W116" s="142" t="n">
        <x:v>66414</x:v>
      </x:c>
      <x:c r="X116" s="142" t="n">
        <x:v>67070.43</x:v>
      </x:c>
      <x:c r="Y116" s="142" t="n">
        <x:v>63606.06</x:v>
      </x:c>
      <x:c r="Z116" s="142" t="n">
        <x:v>64289.59</x:v>
      </x:c>
      <x:c r="AA116" s="142" t="n">
        <x:v>9014.74988357497</x:v>
      </x:c>
      <x:c r="AB116" s="142" t="n">
        <x:v>9466.578227374765</x:v>
      </x:c>
    </x:row>
    <x:row r="117">
      <x:c r="V117" s="141" t="n">
        <x:v>45407</x:v>
      </x:c>
      <x:c r="W117" s="142" t="n">
        <x:v>64289.58</x:v>
      </x:c>
      <x:c r="X117" s="142" t="n">
        <x:v>65297.94</x:v>
      </x:c>
      <x:c r="Y117" s="142" t="n">
        <x:v>62794</x:v>
      </x:c>
      <x:c r="Z117" s="142" t="n">
        <x:v>64498.34</x:v>
      </x:c>
      <x:c r="AA117" s="142" t="n">
        <x:v>9045.990848014595</x:v>
      </x:c>
      <x:c r="AB117" s="142" t="n">
        <x:v>9497.348927653993</x:v>
      </x:c>
    </x:row>
    <x:row r="118">
      <x:c r="V118" s="141" t="n">
        <x:v>45408</x:v>
      </x:c>
      <x:c r="W118" s="142" t="n">
        <x:v>64498.33</x:v>
      </x:c>
      <x:c r="X118" s="142" t="n">
        <x:v>64820.01</x:v>
      </x:c>
      <x:c r="Y118" s="142" t="n">
        <x:v>63297.48</x:v>
      </x:c>
      <x:c r="Z118" s="142" t="n">
        <x:v>63770.01</x:v>
      </x:c>
      <x:c r="AA118" s="142" t="n">
        <x:v>8936.990936013097</x:v>
      </x:c>
      <x:c r="AB118" s="142" t="n">
        <x:v>9389.989770124075</x:v>
      </x:c>
    </x:row>
    <x:row r="119">
      <x:c r="V119" s="141" t="n">
        <x:v>45409</x:v>
      </x:c>
      <x:c r="W119" s="142" t="n">
        <x:v>63770</x:v>
      </x:c>
      <x:c r="X119" s="142" t="n">
        <x:v>63923.41</x:v>
      </x:c>
      <x:c r="Y119" s="142" t="n">
        <x:v>62391.24</x:v>
      </x:c>
      <x:c r="Z119" s="142" t="n">
        <x:v>63461.98</x:v>
      </x:c>
      <x:c r="AA119" s="142" t="n">
        <x:v>8927.445792482753</x:v>
      </x:c>
      <x:c r="AB119" s="142" t="n">
        <x:v>9344.584745898876</x:v>
      </x:c>
    </x:row>
    <x:row r="120">
      <x:c r="V120" s="141" t="n">
        <x:v>45410</x:v>
      </x:c>
      <x:c r="W120" s="142" t="n">
        <x:v>63461.98</x:v>
      </x:c>
      <x:c r="X120" s="142" t="n">
        <x:v>64370</x:v>
      </x:c>
      <x:c r="Y120" s="142" t="n">
        <x:v>62781</x:v>
      </x:c>
      <x:c r="Z120" s="142" t="n">
        <x:v>63118.62</x:v>
      </x:c>
      <x:c r="AA120" s="142" t="n">
        <x:v>8927.445792482753</x:v>
      </x:c>
      <x:c r="AB120" s="142" t="n">
        <x:v>9293.971918843183</x:v>
      </x:c>
    </x:row>
    <x:row r="121">
      <x:c r="V121" s="141" t="n">
        <x:v>45411</x:v>
      </x:c>
      <x:c r="W121" s="142" t="n">
        <x:v>63118.62</x:v>
      </x:c>
      <x:c r="X121" s="142" t="n">
        <x:v>64228.35</x:v>
      </x:c>
      <x:c r="Y121" s="142" t="n">
        <x:v>61765.53</x:v>
      </x:c>
      <x:c r="Z121" s="142" t="n">
        <x:v>63866</x:v>
      </x:c>
      <x:c r="AA121" s="142" t="n">
        <x:v>8927.445792482753</x:v>
      </x:c>
      <x:c r="AB121" s="142" t="n">
        <x:v>9404.139133093193</x:v>
      </x:c>
    </x:row>
    <x:row r="122">
      <x:c r="V122" s="141" t="n">
        <x:v>45412</x:v>
      </x:c>
      <x:c r="W122" s="142" t="n">
        <x:v>63866</x:v>
      </x:c>
      <x:c r="X122" s="142" t="n">
        <x:v>64734</x:v>
      </x:c>
      <x:c r="Y122" s="142" t="n">
        <x:v>59191.6</x:v>
      </x:c>
      <x:c r="Z122" s="142" t="n">
        <x:v>60672</x:v>
      </x:c>
      <x:c r="AA122" s="142" t="n">
        <x:v>8927.445792482753</x:v>
      </x:c>
      <x:c r="AB122" s="142" t="n">
        <x:v>8933.328993251967</x:v>
      </x:c>
    </x:row>
    <x:row r="123">
      <x:c r="V123" s="141" t="n">
        <x:v>45413</x:v>
      </x:c>
      <x:c r="W123" s="142" t="n">
        <x:v>60672.01</x:v>
      </x:c>
      <x:c r="X123" s="142" t="n">
        <x:v>60841.63</x:v>
      </x:c>
      <x:c r="Y123" s="142" t="n">
        <x:v>56552.82</x:v>
      </x:c>
      <x:c r="Z123" s="142" t="n">
        <x:v>58364.97</x:v>
      </x:c>
      <x:c r="AA123" s="142" t="n">
        <x:v>8927.445792482753</x:v>
      </x:c>
      <x:c r="AB123" s="142" t="n">
        <x:v>8593.262269107352</x:v>
      </x:c>
    </x:row>
    <x:row r="124">
      <x:c r="V124" s="141" t="n">
        <x:v>45414</x:v>
      </x:c>
      <x:c r="W124" s="142" t="n">
        <x:v>58364.97</x:v>
      </x:c>
      <x:c r="X124" s="142" t="n">
        <x:v>59625</x:v>
      </x:c>
      <x:c r="Y124" s="142" t="n">
        <x:v>56911.84</x:v>
      </x:c>
      <x:c r="Z124" s="142" t="n">
        <x:v>59060.61</x:v>
      </x:c>
      <x:c r="AA124" s="142" t="n">
        <x:v>8927.445792482753</x:v>
      </x:c>
      <x:c r="AB124" s="142" t="n">
        <x:v>8695.802771824681</x:v>
      </x:c>
    </x:row>
    <x:row r="125">
      <x:c r="V125" s="141" t="n">
        <x:v>45415</x:v>
      </x:c>
      <x:c r="W125" s="142" t="n">
        <x:v>59060.6</x:v>
      </x:c>
      <x:c r="X125" s="142" t="n">
        <x:v>63333</x:v>
      </x:c>
      <x:c r="Y125" s="142" t="n">
        <x:v>58811.32</x:v>
      </x:c>
      <x:c r="Z125" s="142" t="n">
        <x:v>62882.01</x:v>
      </x:c>
      <x:c r="AA125" s="142" t="n">
        <x:v>8927.445792482753</x:v>
      </x:c>
      <x:c r="AB125" s="142" t="n">
        <x:v>9259.094527738664</x:v>
      </x:c>
    </x:row>
    <x:row r="126">
      <x:c r="V126" s="141" t="n">
        <x:v>45416</x:v>
      </x:c>
      <x:c r="W126" s="142" t="n">
        <x:v>62882.01</x:v>
      </x:c>
      <x:c r="X126" s="142" t="n">
        <x:v>64540</x:v>
      </x:c>
      <x:c r="Y126" s="142" t="n">
        <x:v>62541.03</x:v>
      </x:c>
      <x:c r="Z126" s="142" t="n">
        <x:v>63892.04</x:v>
      </x:c>
      <x:c r="AA126" s="142" t="n">
        <x:v>8927.445792482753</x:v>
      </x:c>
      <x:c r="AB126" s="142" t="n">
        <x:v>9407.977547633414</x:v>
      </x:c>
    </x:row>
    <x:row r="127">
      <x:c r="V127" s="141" t="n">
        <x:v>45417</x:v>
      </x:c>
      <x:c r="W127" s="142" t="n">
        <x:v>63892.03</x:v>
      </x:c>
      <x:c r="X127" s="142" t="n">
        <x:v>64646</x:v>
      </x:c>
      <x:c r="Y127" s="142" t="n">
        <x:v>62822.17</x:v>
      </x:c>
      <x:c r="Z127" s="142" t="n">
        <x:v>64012</x:v>
      </x:c>
      <x:c r="AA127" s="142" t="n">
        <x:v>8927.445792482753</x:v>
      </x:c>
      <x:c r="AB127" s="142" t="n">
        <x:v>9425.660197719622</x:v>
      </x:c>
    </x:row>
    <x:row r="128">
      <x:c r="V128" s="141" t="n">
        <x:v>45418</x:v>
      </x:c>
      <x:c r="W128" s="142" t="n">
        <x:v>64012</x:v>
      </x:c>
      <x:c r="X128" s="142" t="n">
        <x:v>65500</x:v>
      </x:c>
      <x:c r="Y128" s="142" t="n">
        <x:v>62700</x:v>
      </x:c>
      <x:c r="Z128" s="142" t="n">
        <x:v>63165.19</x:v>
      </x:c>
      <x:c r="AA128" s="142" t="n">
        <x:v>8927.445792482753</x:v>
      </x:c>
      <x:c r="AB128" s="142" t="n">
        <x:v>9300.836548840804</x:v>
      </x:c>
    </x:row>
    <x:row r="129">
      <x:c r="V129" s="141" t="n">
        <x:v>45419</x:v>
      </x:c>
      <x:c r="W129" s="142" t="n">
        <x:v>63165.18</x:v>
      </x:c>
      <x:c r="X129" s="142" t="n">
        <x:v>64422.41</x:v>
      </x:c>
      <x:c r="Y129" s="142" t="n">
        <x:v>62261</x:v>
      </x:c>
      <x:c r="Z129" s="142" t="n">
        <x:v>62312.08</x:v>
      </x:c>
      <x:c r="AA129" s="142" t="n">
        <x:v>8927.445792482753</x:v>
      </x:c>
      <x:c r="AB129" s="142" t="n">
        <x:v>9175.0842512829</x:v>
      </x:c>
    </x:row>
    <x:row r="130">
      <x:c r="V130" s="141" t="n">
        <x:v>45420</x:v>
      </x:c>
      <x:c r="W130" s="142" t="n">
        <x:v>62312.07</x:v>
      </x:c>
      <x:c r="X130" s="142" t="n">
        <x:v>63020.22</x:v>
      </x:c>
      <x:c r="Y130" s="142" t="n">
        <x:v>60888</x:v>
      </x:c>
      <x:c r="Z130" s="142" t="n">
        <x:v>61193.03</x:v>
      </x:c>
      <x:c r="AA130" s="142" t="n">
        <x:v>8927.445792482753</x:v>
      </x:c>
      <x:c r="AB130" s="142" t="n">
        <x:v>9010.1311871034</x:v>
      </x:c>
    </x:row>
    <x:row r="131">
      <x:c r="V131" s="141" t="n">
        <x:v>45421</x:v>
      </x:c>
      <x:c r="W131" s="142" t="n">
        <x:v>61193.03</x:v>
      </x:c>
      <x:c r="X131" s="142" t="n">
        <x:v>63429.03</x:v>
      </x:c>
      <x:c r="Y131" s="142" t="n">
        <x:v>60630</x:v>
      </x:c>
      <x:c r="Z131" s="142" t="n">
        <x:v>63074.01</x:v>
      </x:c>
      <x:c r="AA131" s="142" t="n">
        <x:v>8927.445792482753</x:v>
      </x:c>
      <x:c r="AB131" s="142" t="n">
        <x:v>9287.396201767942</x:v>
      </x:c>
    </x:row>
    <x:row r="132">
      <x:c r="V132" s="141" t="n">
        <x:v>45422</x:v>
      </x:c>
      <x:c r="W132" s="142" t="n">
        <x:v>63074</x:v>
      </x:c>
      <x:c r="X132" s="142" t="n">
        <x:v>63469.13</x:v>
      </x:c>
      <x:c r="Y132" s="142" t="n">
        <x:v>60187.12</x:v>
      </x:c>
      <x:c r="Z132" s="142" t="n">
        <x:v>60799.99</x:v>
      </x:c>
      <x:c r="AA132" s="142" t="n">
        <x:v>8927.445792482753</x:v>
      </x:c>
      <x:c r="AB132" s="142" t="n">
        <x:v>8952.19530189263</x:v>
      </x:c>
    </x:row>
    <x:row r="133">
      <x:c r="V133" s="141" t="n">
        <x:v>45423</x:v>
      </x:c>
      <x:c r="W133" s="142" t="n">
        <x:v>60799.99</x:v>
      </x:c>
      <x:c r="X133" s="142" t="n">
        <x:v>61515</x:v>
      </x:c>
      <x:c r="Y133" s="142" t="n">
        <x:v>60487.09</x:v>
      </x:c>
      <x:c r="Z133" s="142" t="n">
        <x:v>60825.99</x:v>
      </x:c>
      <x:c r="AA133" s="142" t="n">
        <x:v>8927.445792482753</x:v>
      </x:c>
      <x:c r="AB133" s="142" t="n">
        <x:v>8956.027820250762</x:v>
      </x:c>
    </x:row>
    <x:row r="134">
      <x:c r="V134" s="141" t="n">
        <x:v>45424</x:v>
      </x:c>
      <x:c r="W134" s="142" t="n">
        <x:v>60825.99</x:v>
      </x:c>
      <x:c r="X134" s="142" t="n">
        <x:v>61888</x:v>
      </x:c>
      <x:c r="Y134" s="142" t="n">
        <x:v>60610</x:v>
      </x:c>
      <x:c r="Z134" s="142" t="n">
        <x:v>61483.99</x:v>
      </x:c>
      <x:c r="AA134" s="142" t="n">
        <x:v>8927.445792482753</x:v>
      </x:c>
      <x:c r="AB134" s="142" t="n">
        <x:v>9053.020015621934</x:v>
      </x:c>
    </x:row>
    <x:row r="135">
      <x:c r="V135" s="141" t="n">
        <x:v>45425</x:v>
      </x:c>
      <x:c r="W135" s="142" t="n">
        <x:v>61484</x:v>
      </x:c>
      <x:c r="X135" s="142" t="n">
        <x:v>63450</x:v>
      </x:c>
      <x:c r="Y135" s="142" t="n">
        <x:v>60749.21</x:v>
      </x:c>
      <x:c r="Z135" s="142" t="n">
        <x:v>62940.08</x:v>
      </x:c>
      <x:c r="AA135" s="142" t="n">
        <x:v>8927.445792482753</x:v>
      </x:c>
      <x:c r="AB135" s="142" t="n">
        <x:v>9267.654310086999</x:v>
      </x:c>
    </x:row>
    <x:row r="136">
      <x:c r="V136" s="141" t="n">
        <x:v>45426</x:v>
      </x:c>
      <x:c r="W136" s="142" t="n">
        <x:v>62940.09</x:v>
      </x:c>
      <x:c r="X136" s="142" t="n">
        <x:v>63118.36</x:v>
      </x:c>
      <x:c r="Y136" s="142" t="n">
        <x:v>61142.77</x:v>
      </x:c>
      <x:c r="Z136" s="142" t="n">
        <x:v>61577.49</x:v>
      </x:c>
      <x:c r="AA136" s="142" t="n">
        <x:v>8927.445792482753</x:v>
      </x:c>
      <x:c r="AB136" s="142" t="n">
        <x:v>9066.802341255985</x:v>
      </x:c>
    </x:row>
    <x:row r="137">
      <x:c r="V137" s="141" t="n">
        <x:v>45427</x:v>
      </x:c>
      <x:c r="W137" s="142" t="n">
        <x:v>61577.49</x:v>
      </x:c>
      <x:c r="X137" s="142" t="n">
        <x:v>66444.16</x:v>
      </x:c>
      <x:c r="Y137" s="142" t="n">
        <x:v>61319.47</x:v>
      </x:c>
      <x:c r="Z137" s="142" t="n">
        <x:v>66206.5</x:v>
      </x:c>
      <x:c r="AA137" s="142" t="n">
        <x:v>8927.445792482753</x:v>
      </x:c>
      <x:c r="AB137" s="142" t="n">
        <x:v>9749.13948760114</x:v>
      </x:c>
    </x:row>
    <x:row r="138">
      <x:c r="V138" s="141" t="n">
        <x:v>45428</x:v>
      </x:c>
      <x:c r="W138" s="142" t="n">
        <x:v>66206.51</x:v>
      </x:c>
      <x:c r="X138" s="142" t="n">
        <x:v>66752.01</x:v>
      </x:c>
      <x:c r="Y138" s="142" t="n">
        <x:v>64602.77</x:v>
      </x:c>
      <x:c r="Z138" s="142" t="n">
        <x:v>65235.21</x:v>
      </x:c>
      <x:c r="AA138" s="142" t="n">
        <x:v>8927.445792482753</x:v>
      </x:c>
      <x:c r="AB138" s="142" t="n">
        <x:v>9605.966920060006</x:v>
      </x:c>
    </x:row>
    <x:row r="139">
      <x:c r="V139" s="141" t="n">
        <x:v>45429</x:v>
      </x:c>
      <x:c r="W139" s="142" t="n">
        <x:v>65235.21</x:v>
      </x:c>
      <x:c r="X139" s="142" t="n">
        <x:v>67451.2</x:v>
      </x:c>
      <x:c r="Y139" s="142" t="n">
        <x:v>65106.38</x:v>
      </x:c>
      <x:c r="Z139" s="142" t="n">
        <x:v>67024</x:v>
      </x:c>
      <x:c r="AA139" s="142" t="n">
        <x:v>8927.445792482753</x:v>
      </x:c>
      <x:c r="AB139" s="142" t="n">
        <x:v>9869.642709053927</x:v>
      </x:c>
    </x:row>
    <x:row r="140">
      <x:c r="V140" s="141" t="n">
        <x:v>45430</x:v>
      </x:c>
      <x:c r="W140" s="142" t="n">
        <x:v>67024</x:v>
      </x:c>
      <x:c r="X140" s="142" t="n">
        <x:v>67400.01</x:v>
      </x:c>
      <x:c r="Y140" s="142" t="n">
        <x:v>66600</x:v>
      </x:c>
      <x:c r="Z140" s="142" t="n">
        <x:v>66915.2</x:v>
      </x:c>
      <x:c r="AA140" s="142" t="n">
        <x:v>8927.445792482753</x:v>
      </x:c>
      <x:c r="AB140" s="142" t="n">
        <x:v>9853.60509377067</x:v>
      </x:c>
    </x:row>
    <x:row r="141">
      <x:c r="V141" s="141" t="n">
        <x:v>45431</x:v>
      </x:c>
      <x:c r="W141" s="142" t="n">
        <x:v>66915.2</x:v>
      </x:c>
      <x:c r="X141" s="142" t="n">
        <x:v>67700</x:v>
      </x:c>
      <x:c r="Y141" s="142" t="n">
        <x:v>65857.25</x:v>
      </x:c>
      <x:c r="Z141" s="142" t="n">
        <x:v>66274.01</x:v>
      </x:c>
      <x:c r="AA141" s="142" t="n">
        <x:v>8927.445792482753</x:v>
      </x:c>
      <x:c r="AB141" s="142" t="n">
        <x:v>9759.09076892258</x:v>
      </x:c>
    </x:row>
    <x:row r="142">
      <x:c r="V142" s="141" t="n">
        <x:v>45432</x:v>
      </x:c>
      <x:c r="W142" s="142" t="n">
        <x:v>66274</x:v>
      </x:c>
      <x:c r="X142" s="142" t="n">
        <x:v>71515.56</x:v>
      </x:c>
      <x:c r="Y142" s="142" t="n">
        <x:v>66060.31</x:v>
      </x:c>
      <x:c r="Z142" s="142" t="n">
        <x:v>71446.62</x:v>
      </x:c>
      <x:c r="AA142" s="142" t="n">
        <x:v>8927.445792482753</x:v>
      </x:c>
      <x:c r="AB142" s="142" t="n">
        <x:v>10521.55702986313</x:v>
      </x:c>
    </x:row>
    <x:row r="143">
      <x:c r="V143" s="141" t="n">
        <x:v>45433</x:v>
      </x:c>
      <x:c r="W143" s="142" t="n">
        <x:v>71446.62</x:v>
      </x:c>
      <x:c r="X143" s="142" t="n">
        <x:v>71979</x:v>
      </x:c>
      <x:c r="Y143" s="142" t="n">
        <x:v>69162.94</x:v>
      </x:c>
      <x:c r="Z143" s="142" t="n">
        <x:v>70148.34</x:v>
      </x:c>
      <x:c r="AA143" s="142" t="n">
        <x:v>8927.445792482753</x:v>
      </x:c>
      <x:c r="AB143" s="142" t="n">
        <x:v>10330.184647786404</x:v>
      </x:c>
    </x:row>
    <x:row r="144">
      <x:c r="V144" s="141" t="n">
        <x:v>45434</x:v>
      </x:c>
      <x:c r="W144" s="142" t="n">
        <x:v>70148.34</x:v>
      </x:c>
      <x:c r="X144" s="142" t="n">
        <x:v>70666</x:v>
      </x:c>
      <x:c r="Y144" s="142" t="n">
        <x:v>68842.19</x:v>
      </x:c>
      <x:c r="Z144" s="142" t="n">
        <x:v>69166.62</x:v>
      </x:c>
      <x:c r="AA144" s="142" t="n">
        <x:v>8927.445792482753</x:v>
      </x:c>
      <x:c r="AB144" s="142" t="n">
        <x:v>10185.474650765449</x:v>
      </x:c>
    </x:row>
    <x:row r="145">
      <x:c r="V145" s="141" t="n">
        <x:v>45435</x:v>
      </x:c>
      <x:c r="W145" s="142" t="n">
        <x:v>69166.62</x:v>
      </x:c>
      <x:c r="X145" s="142" t="n">
        <x:v>70096.12</x:v>
      </x:c>
      <x:c r="Y145" s="142" t="n">
        <x:v>66312.16</x:v>
      </x:c>
      <x:c r="Z145" s="142" t="n">
        <x:v>67969.65</x:v>
      </x:c>
      <x:c r="AA145" s="142" t="n">
        <x:v>8927.445792482753</x:v>
      </x:c>
      <x:c r="AB145" s="142" t="n">
        <x:v>10009.035823875734</x:v>
      </x:c>
    </x:row>
    <x:row r="146">
      <x:c r="V146" s="141" t="n">
        <x:v>45436</x:v>
      </x:c>
      <x:c r="W146" s="142" t="n">
        <x:v>67969.66</x:v>
      </x:c>
      <x:c r="X146" s="142" t="n">
        <x:v>69250</x:v>
      </x:c>
      <x:c r="Y146" s="142" t="n">
        <x:v>66600.12</x:v>
      </x:c>
      <x:c r="Z146" s="142" t="n">
        <x:v>68549.99</x:v>
      </x:c>
      <x:c r="AA146" s="142" t="n">
        <x:v>8927.445792482753</x:v>
      </x:c>
      <x:c r="AB146" s="142" t="n">
        <x:v>10094.580581720274</x:v>
      </x:c>
    </x:row>
    <x:row r="147">
      <x:c r="V147" s="141" t="n">
        <x:v>45437</x:v>
      </x:c>
      <x:c r="W147" s="142" t="n">
        <x:v>68549.99</x:v>
      </x:c>
      <x:c r="X147" s="142" t="n">
        <x:v>69610</x:v>
      </x:c>
      <x:c r="Y147" s="142" t="n">
        <x:v>68500</x:v>
      </x:c>
      <x:c r="Z147" s="142" t="n">
        <x:v>69290.57</x:v>
      </x:c>
      <x:c r="AA147" s="142" t="n">
        <x:v>8927.445792482753</x:v>
      </x:c>
      <x:c r="AB147" s="142" t="n">
        <x:v>10203.745445015082</x:v>
      </x:c>
    </x:row>
    <x:row r="148">
      <x:c r="V148" s="141" t="n">
        <x:v>45438</x:v>
      </x:c>
      <x:c r="W148" s="142" t="n">
        <x:v>69290.56</x:v>
      </x:c>
      <x:c r="X148" s="142" t="n">
        <x:v>69562.23</x:v>
      </x:c>
      <x:c r="Y148" s="142" t="n">
        <x:v>68128.01</x:v>
      </x:c>
      <x:c r="Z148" s="142" t="n">
        <x:v>68507.67</x:v>
      </x:c>
      <x:c r="AA148" s="142" t="n">
        <x:v>8927.445792482753</x:v>
      </x:c>
      <x:c r="AB148" s="142" t="n">
        <x:v>10088.342421069654</x:v>
      </x:c>
    </x:row>
    <x:row r="149">
      <x:c r="V149" s="141" t="n">
        <x:v>45439</x:v>
      </x:c>
      <x:c r="W149" s="142" t="n">
        <x:v>68507.67</x:v>
      </x:c>
      <x:c r="X149" s="142" t="n">
        <x:v>70687.56</x:v>
      </x:c>
      <x:c r="Y149" s="142" t="n">
        <x:v>68250</x:v>
      </x:c>
      <x:c r="Z149" s="142" t="n">
        <x:v>69436.43</x:v>
      </x:c>
      <x:c r="AA149" s="142" t="n">
        <x:v>8927.445792482753</x:v>
      </x:c>
      <x:c r="AB149" s="142" t="n">
        <x:v>10225.245873004198</x:v>
      </x:c>
    </x:row>
    <x:row r="150">
      <x:c r="V150" s="141" t="n">
        <x:v>45440</x:v>
      </x:c>
      <x:c r="W150" s="142" t="n">
        <x:v>69436.43</x:v>
      </x:c>
      <x:c r="X150" s="142" t="n">
        <x:v>69591.81</x:v>
      </x:c>
      <x:c r="Y150" s="142" t="n">
        <x:v>67277.91</x:v>
      </x:c>
      <x:c r="Z150" s="142" t="n">
        <x:v>68398.39</x:v>
      </x:c>
      <x:c r="AA150" s="142" t="n">
        <x:v>8927.445792482753</x:v>
      </x:c>
      <x:c r="AB150" s="142" t="n">
        <x:v>10072.234051601323</x:v>
      </x:c>
    </x:row>
    <x:row r="151">
      <x:c r="V151" s="141" t="n">
        <x:v>45441</x:v>
      </x:c>
      <x:c r="W151" s="142" t="n">
        <x:v>68398.4</x:v>
      </x:c>
      <x:c r="X151" s="142" t="n">
        <x:v>68935.68</x:v>
      </x:c>
      <x:c r="Y151" s="142" t="n">
        <x:v>67124.65</x:v>
      </x:c>
      <x:c r="Z151" s="142" t="n">
        <x:v>67652.42</x:v>
      </x:c>
      <x:c r="AA151" s="142" t="n">
        <x:v>8927.445792482753</x:v>
      </x:c>
      <x:c r="AB151" s="142" t="n">
        <x:v>9962.274677769965</x:v>
      </x:c>
    </x:row>
    <x:row r="152">
      <x:c r="V152" s="141" t="n">
        <x:v>45442</x:v>
      </x:c>
      <x:c r="W152" s="142" t="n">
        <x:v>67652.41</x:v>
      </x:c>
      <x:c r="X152" s="142" t="n">
        <x:v>69500</x:v>
      </x:c>
      <x:c r="Y152" s="142" t="n">
        <x:v>67128</x:v>
      </x:c>
      <x:c r="Z152" s="142" t="n">
        <x:v>68352.17</x:v>
      </x:c>
      <x:c r="AA152" s="142" t="n">
        <x:v>8927.445792482753</x:v>
      </x:c>
      <x:c r="AB152" s="142" t="n">
        <x:v>10065.421013196983</x:v>
      </x:c>
    </x:row>
    <x:row r="153">
      <x:c r="V153" s="141" t="n">
        <x:v>45443</x:v>
      </x:c>
      <x:c r="W153" s="142" t="n">
        <x:v>68352.17</x:v>
      </x:c>
      <x:c r="X153" s="142" t="n">
        <x:v>69044.1</x:v>
      </x:c>
      <x:c r="Y153" s="142" t="n">
        <x:v>66670</x:v>
      </x:c>
      <x:c r="Z153" s="142" t="n">
        <x:v>67540.01</x:v>
      </x:c>
      <x:c r="AA153" s="142" t="n">
        <x:v>8927.445792482753</x:v>
      </x:c>
      <x:c r="AB153" s="142" t="n">
        <x:v>9945.704932053135</x:v>
      </x:c>
    </x:row>
    <x:row r="154">
      <x:c r="V154" s="141" t="n">
        <x:v>45444</x:v>
      </x:c>
      <x:c r="W154" s="142" t="n">
        <x:v>67540.01</x:v>
      </x:c>
      <x:c r="X154" s="142" t="n">
        <x:v>67900</x:v>
      </x:c>
      <x:c r="Y154" s="142" t="n">
        <x:v>67428.44</x:v>
      </x:c>
      <x:c r="Z154" s="142" t="n">
        <x:v>67766.85</x:v>
      </x:c>
      <x:c r="AA154" s="142" t="n">
        <x:v>8927.445792482753</x:v>
      </x:c>
      <x:c r="AB154" s="142" t="n">
        <x:v>9979.142180682311</x:v>
      </x:c>
    </x:row>
    <x:row r="155">
      <x:c r="V155" s="141" t="n">
        <x:v>45445</x:v>
      </x:c>
      <x:c r="W155" s="142" t="n">
        <x:v>67766.84</x:v>
      </x:c>
      <x:c r="X155" s="142" t="n">
        <x:v>68460</x:v>
      </x:c>
      <x:c r="Y155" s="142" t="n">
        <x:v>67257.47</x:v>
      </x:c>
      <x:c r="Z155" s="142" t="n">
        <x:v>67765.63</x:v>
      </x:c>
      <x:c r="AA155" s="142" t="n">
        <x:v>8927.445792482753</x:v>
      </x:c>
      <x:c r="AB155" s="142" t="n">
        <x:v>9978.962347128583</x:v>
      </x:c>
    </x:row>
    <x:row r="156">
      <x:c r="V156" s="141" t="n">
        <x:v>45446</x:v>
      </x:c>
      <x:c r="W156" s="142" t="n">
        <x:v>67765.62</x:v>
      </x:c>
      <x:c r="X156" s="142" t="n">
        <x:v>70288</x:v>
      </x:c>
      <x:c r="Y156" s="142" t="n">
        <x:v>67612.48</x:v>
      </x:c>
      <x:c r="Z156" s="142" t="n">
        <x:v>68809.9</x:v>
      </x:c>
      <x:c r="AA156" s="142" t="n">
        <x:v>8927.445792482753</x:v>
      </x:c>
      <x:c r="AB156" s="142" t="n">
        <x:v>10132.892498891886</x:v>
      </x:c>
    </x:row>
    <x:row r="157">
      <x:c r="V157" s="141" t="n">
        <x:v>45447</x:v>
      </x:c>
      <x:c r="W157" s="142" t="n">
        <x:v>68809.89</x:v>
      </x:c>
      <x:c r="X157" s="142" t="n">
        <x:v>71063.45</x:v>
      </x:c>
      <x:c r="Y157" s="142" t="n">
        <x:v>68567.32</x:v>
      </x:c>
      <x:c r="Z157" s="142" t="n">
        <x:v>70537.84</x:v>
      </x:c>
      <x:c r="AA157" s="142" t="n">
        <x:v>8927.445792482753</x:v>
      </x:c>
      <x:c r="AB157" s="142" t="n">
        <x:v>10387.598720882257</x:v>
      </x:c>
    </x:row>
    <x:row r="158">
      <x:c r="V158" s="141" t="n">
        <x:v>45448</x:v>
      </x:c>
      <x:c r="W158" s="142" t="n">
        <x:v>70537.83</x:v>
      </x:c>
      <x:c r="X158" s="142" t="n">
        <x:v>71758</x:v>
      </x:c>
      <x:c r="Y158" s="142" t="n">
        <x:v>70383.66</x:v>
      </x:c>
      <x:c r="Z158" s="142" t="n">
        <x:v>71108</x:v>
      </x:c>
      <x:c r="AA158" s="142" t="n">
        <x:v>8927.445792482753</x:v>
      </x:c>
      <x:c r="AB158" s="142" t="n">
        <x:v>10471.642900385035</x:v>
      </x:c>
    </x:row>
    <x:row r="159">
      <x:c r="V159" s="141" t="n">
        <x:v>45449</x:v>
      </x:c>
      <x:c r="W159" s="142" t="n">
        <x:v>71108</x:v>
      </x:c>
      <x:c r="X159" s="142" t="n">
        <x:v>71700</x:v>
      </x:c>
      <x:c r="Y159" s="142" t="n">
        <x:v>70117.64</x:v>
      </x:c>
      <x:c r="Z159" s="142" t="n">
        <x:v>70799.06</x:v>
      </x:c>
      <x:c r="AA159" s="142" t="n">
        <x:v>8927.445792482753</x:v>
      </x:c>
      <x:c r="AB159" s="142" t="n">
        <x:v>10426.1037380173</x:v>
      </x:c>
    </x:row>
    <x:row r="160">
      <x:c r="V160" s="141" t="n">
        <x:v>45450</x:v>
      </x:c>
      <x:c r="W160" s="142" t="n">
        <x:v>70799.06</x:v>
      </x:c>
      <x:c r="X160" s="142" t="n">
        <x:v>71997.02</x:v>
      </x:c>
      <x:c r="Y160" s="142" t="n">
        <x:v>68420</x:v>
      </x:c>
      <x:c r="Z160" s="142" t="n">
        <x:v>69355.6</x:v>
      </x:c>
      <x:c r="AA160" s="142" t="n">
        <x:v>8927.445792482753</x:v>
      </x:c>
      <x:c r="AB160" s="142" t="n">
        <x:v>10213.331163046978</x:v>
      </x:c>
    </x:row>
    <x:row r="161">
      <x:c r="V161" s="141" t="n">
        <x:v>45451</x:v>
      </x:c>
      <x:c r="W161" s="142" t="n">
        <x:v>69355.6</x:v>
      </x:c>
      <x:c r="X161" s="142" t="n">
        <x:v>69582.2</x:v>
      </x:c>
      <x:c r="Y161" s="142" t="n">
        <x:v>69168.02</x:v>
      </x:c>
      <x:c r="Z161" s="142" t="n">
        <x:v>69310.46</x:v>
      </x:c>
      <x:c r="AA161" s="142" t="n">
        <x:v>8927.445792482753</x:v>
      </x:c>
      <x:c r="AB161" s="142" t="n">
        <x:v>10206.677321559053</x:v>
      </x:c>
    </x:row>
    <x:row r="162">
      <x:c r="V162" s="141" t="n">
        <x:v>45452</x:v>
      </x:c>
      <x:c r="W162" s="142" t="n">
        <x:v>69310.46</x:v>
      </x:c>
      <x:c r="X162" s="142" t="n">
        <x:v>69857.14</x:v>
      </x:c>
      <x:c r="Y162" s="142" t="n">
        <x:v>69130.24</x:v>
      </x:c>
      <x:c r="Z162" s="142" t="n">
        <x:v>69648.14</x:v>
      </x:c>
      <x:c r="AA162" s="142" t="n">
        <x:v>8927.445792482753</x:v>
      </x:c>
      <x:c r="AB162" s="142" t="n">
        <x:v>10256.452890758044</x:v>
      </x:c>
    </x:row>
    <x:row r="163">
      <x:c r="V163" s="141" t="n">
        <x:v>45453</x:v>
      </x:c>
      <x:c r="W163" s="142" t="n">
        <x:v>69648.15</x:v>
      </x:c>
      <x:c r="X163" s="142" t="n">
        <x:v>70195.94</x:v>
      </x:c>
      <x:c r="Y163" s="142" t="n">
        <x:v>69172.29</x:v>
      </x:c>
      <x:c r="Z163" s="142" t="n">
        <x:v>69540</x:v>
      </x:c>
      <x:c r="AA163" s="142" t="n">
        <x:v>8927.445792482753</x:v>
      </x:c>
      <x:c r="AB163" s="142" t="n">
        <x:v>10240.512562479264</x:v>
      </x:c>
    </x:row>
    <x:row r="164">
      <x:c r="V164" s="141" t="n">
        <x:v>45454</x:v>
      </x:c>
      <x:c r="W164" s="142" t="n">
        <x:v>69540</x:v>
      </x:c>
      <x:c r="X164" s="142" t="n">
        <x:v>69590.01</x:v>
      </x:c>
      <x:c r="Y164" s="142" t="n">
        <x:v>66051</x:v>
      </x:c>
      <x:c r="Z164" s="142" t="n">
        <x:v>67314.24</x:v>
      </x:c>
      <x:c r="AA164" s="142" t="n">
        <x:v>8927.445792482753</x:v>
      </x:c>
      <x:c r="AB164" s="142" t="n">
        <x:v>9912.425406294855</x:v>
      </x:c>
    </x:row>
    <x:row r="165">
      <x:c r="V165" s="141" t="n">
        <x:v>45455</x:v>
      </x:c>
      <x:c r="W165" s="142" t="n">
        <x:v>67314.23</x:v>
      </x:c>
      <x:c r="X165" s="142" t="n">
        <x:v>69999</x:v>
      </x:c>
      <x:c r="Y165" s="142" t="n">
        <x:v>66905</x:v>
      </x:c>
      <x:c r="Z165" s="142" t="n">
        <x:v>68263.99</x:v>
      </x:c>
      <x:c r="AA165" s="142" t="n">
        <x:v>8927.445792482753</x:v>
      </x:c>
      <x:c r="AB165" s="142" t="n">
        <x:v>10052.422879780828</x:v>
      </x:c>
    </x:row>
    <x:row r="166">
      <x:c r="V166" s="141" t="n">
        <x:v>45456</x:v>
      </x:c>
      <x:c r="W166" s="142" t="n">
        <x:v>68263.98</x:v>
      </x:c>
      <x:c r="X166" s="142" t="n">
        <x:v>68449.3</x:v>
      </x:c>
      <x:c r="Y166" s="142" t="n">
        <x:v>66251.78</x:v>
      </x:c>
      <x:c r="Z166" s="142" t="n">
        <x:v>66773.01</x:v>
      </x:c>
      <x:c r="AA166" s="142" t="n">
        <x:v>8927.445792482753</x:v>
      </x:c>
      <x:c r="AB166" s="142" t="n">
        <x:v>9832.645640488257</x:v>
      </x:c>
    </x:row>
    <x:row r="167">
      <x:c r="V167" s="141" t="n">
        <x:v>45457</x:v>
      </x:c>
      <x:c r="W167" s="142" t="n">
        <x:v>66773.01</x:v>
      </x:c>
      <x:c r="X167" s="142" t="n">
        <x:v>67370.24</x:v>
      </x:c>
      <x:c r="Y167" s="142" t="n">
        <x:v>65078</x:v>
      </x:c>
      <x:c r="Z167" s="142" t="n">
        <x:v>66043.99</x:v>
      </x:c>
      <x:c r="AA167" s="142" t="n">
        <x:v>8927.445792482753</x:v>
      </x:c>
      <x:c r="AB167" s="142" t="n">
        <x:v>9725.184773817298</x:v>
      </x:c>
    </x:row>
    <x:row r="168">
      <x:c r="V168" s="141" t="n">
        <x:v>45458</x:v>
      </x:c>
      <x:c r="W168" s="142" t="n">
        <x:v>66043.99</x:v>
      </x:c>
      <x:c r="X168" s="142" t="n">
        <x:v>66478.48</x:v>
      </x:c>
      <x:c r="Y168" s="142" t="n">
        <x:v>65857.1</x:v>
      </x:c>
      <x:c r="Z168" s="142" t="n">
        <x:v>66228.25</x:v>
      </x:c>
      <x:c r="AA168" s="142" t="n">
        <x:v>8927.445792482753</x:v>
      </x:c>
      <x:c r="AB168" s="142" t="n">
        <x:v>9752.345536612269</x:v>
      </x:c>
    </x:row>
    <x:row r="169">
      <x:c r="V169" s="141" t="n">
        <x:v>45459</x:v>
      </x:c>
      <x:c r="W169" s="142" t="n">
        <x:v>66228.25</x:v>
      </x:c>
      <x:c r="X169" s="142" t="n">
        <x:v>66998.7</x:v>
      </x:c>
      <x:c r="Y169" s="142" t="n">
        <x:v>66034.5</x:v>
      </x:c>
      <x:c r="Z169" s="142" t="n">
        <x:v>66676.87</x:v>
      </x:c>
      <x:c r="AA169" s="142" t="n">
        <x:v>8927.445792482753</x:v>
      </x:c>
      <x:c r="AB169" s="142" t="n">
        <x:v>9818.474166836304</x:v>
      </x:c>
    </x:row>
    <x:row r="170">
      <x:c r="V170" s="141" t="n">
        <x:v>45460</x:v>
      </x:c>
      <x:c r="W170" s="142" t="n">
        <x:v>66676.86</x:v>
      </x:c>
      <x:c r="X170" s="142" t="n">
        <x:v>67298.81</x:v>
      </x:c>
      <x:c r="Y170" s="142" t="n">
        <x:v>65130</x:v>
      </x:c>
      <x:c r="Z170" s="142" t="n">
        <x:v>66504.33</x:v>
      </x:c>
      <x:c r="AA170" s="142" t="n">
        <x:v>8927.445792482753</x:v>
      </x:c>
      <x:c r="AB170" s="142" t="n">
        <x:v>9793.040985393536</x:v>
      </x:c>
    </x:row>
    <x:row r="171">
      <x:c r="V171" s="141" t="n">
        <x:v>45461</x:v>
      </x:c>
      <x:c r="W171" s="142" t="n">
        <x:v>66504.33</x:v>
      </x:c>
      <x:c r="X171" s="142" t="n">
        <x:v>66588.23</x:v>
      </x:c>
      <x:c r="Y171" s="142" t="n">
        <x:v>64060</x:v>
      </x:c>
      <x:c r="Z171" s="142" t="n">
        <x:v>65175.32</x:v>
      </x:c>
      <x:c r="AA171" s="142" t="n">
        <x:v>8927.445792482753</x:v>
      </x:c>
      <x:c r="AB171" s="142" t="n">
        <x:v>9597.138861426603</x:v>
      </x:c>
    </x:row>
    <x:row r="172">
      <x:c r="V172" s="141" t="n">
        <x:v>45462</x:v>
      </x:c>
      <x:c r="W172" s="142" t="n">
        <x:v>65175.32</x:v>
      </x:c>
      <x:c r="X172" s="142" t="n">
        <x:v>65727.54</x:v>
      </x:c>
      <x:c r="Y172" s="142" t="n">
        <x:v>64666</x:v>
      </x:c>
      <x:c r="Z172" s="142" t="n">
        <x:v>64974.37</x:v>
      </x:c>
      <x:c r="AA172" s="142" t="n">
        <x:v>8927.445792482753</x:v>
      </x:c>
      <x:c r="AB172" s="142" t="n">
        <x:v>9567.517916654813</x:v>
      </x:c>
    </x:row>
    <x:row r="173">
      <x:c r="V173" s="141" t="n">
        <x:v>45463</x:v>
      </x:c>
      <x:c r="W173" s="142" t="n">
        <x:v>64974.37</x:v>
      </x:c>
      <x:c r="X173" s="142" t="n">
        <x:v>66482.94</x:v>
      </x:c>
      <x:c r="Y173" s="142" t="n">
        <x:v>64559.15</x:v>
      </x:c>
      <x:c r="Z173" s="142" t="n">
        <x:v>64869.99</x:v>
      </x:c>
      <x:c r="AA173" s="142" t="n">
        <x:v>8927.445792482753</x:v>
      </x:c>
      <x:c r="AB173" s="142" t="n">
        <x:v>9552.131829492439</x:v>
      </x:c>
    </x:row>
    <x:row r="174">
      <x:c r="V174" s="141" t="n">
        <x:v>45464</x:v>
      </x:c>
      <x:c r="W174" s="142" t="n">
        <x:v>64869.99</x:v>
      </x:c>
      <x:c r="X174" s="142" t="n">
        <x:v>65066.66</x:v>
      </x:c>
      <x:c r="Y174" s="142" t="n">
        <x:v>63379.35</x:v>
      </x:c>
      <x:c r="Z174" s="142" t="n">
        <x:v>64143.56</x:v>
      </x:c>
      <x:c r="AA174" s="142" t="n">
        <x:v>8927.445792482753</x:v>
      </x:c>
      <x:c r="AB174" s="142" t="n">
        <x:v>9445.052740611767</x:v>
      </x:c>
    </x:row>
    <x:row r="175">
      <x:c r="V175" s="141" t="n">
        <x:v>45465</x:v>
      </x:c>
      <x:c r="W175" s="142" t="n">
        <x:v>64143.56</x:v>
      </x:c>
      <x:c r="X175" s="142" t="n">
        <x:v>64546.81</x:v>
      </x:c>
      <x:c r="Y175" s="142" t="n">
        <x:v>63943.82</x:v>
      </x:c>
      <x:c r="Z175" s="142" t="n">
        <x:v>64262.01</x:v>
      </x:c>
      <x:c r="AA175" s="142" t="n">
        <x:v>8927.445792482753</x:v>
      </x:c>
      <x:c r="AB175" s="142" t="n">
        <x:v>9462.512809824102</x:v>
      </x:c>
    </x:row>
    <x:row r="176">
      <x:c r="V176" s="141" t="n">
        <x:v>45466</x:v>
      </x:c>
      <x:c r="W176" s="142" t="n">
        <x:v>64262.01</x:v>
      </x:c>
      <x:c r="X176" s="142" t="n">
        <x:v>64521</x:v>
      </x:c>
      <x:c r="Y176" s="142" t="n">
        <x:v>63178.32</x:v>
      </x:c>
      <x:c r="Z176" s="142" t="n">
        <x:v>63210.01</x:v>
      </x:c>
      <x:c r="AA176" s="142" t="n">
        <x:v>8927.445792482753</x:v>
      </x:c>
      <x:c r="AB176" s="142" t="n">
        <x:v>9307.443220872014</x:v>
      </x:c>
    </x:row>
    <x:row r="177">
      <x:c r="V177" s="141" t="n">
        <x:v>45467</x:v>
      </x:c>
      <x:c r="W177" s="142" t="n">
        <x:v>63210.01</x:v>
      </x:c>
      <x:c r="X177" s="142" t="n">
        <x:v>63369.8</x:v>
      </x:c>
      <x:c r="Y177" s="142" t="n">
        <x:v>58402</x:v>
      </x:c>
      <x:c r="Z177" s="142" t="n">
        <x:v>60293.3</x:v>
      </x:c>
      <x:c r="AA177" s="142" t="n">
        <x:v>8927.445792482753</x:v>
      </x:c>
      <x:c r="AB177" s="142" t="n">
        <x:v>8877.50688932026</x:v>
      </x:c>
    </x:row>
    <x:row r="178">
      <x:c r="V178" s="141" t="n">
        <x:v>45468</x:v>
      </x:c>
      <x:c r="W178" s="142" t="n">
        <x:v>60293.3</x:v>
      </x:c>
      <x:c r="X178" s="142" t="n">
        <x:v>62420</x:v>
      </x:c>
      <x:c r="Y178" s="142" t="n">
        <x:v>60257.06</x:v>
      </x:c>
      <x:c r="Z178" s="142" t="n">
        <x:v>61806.01</x:v>
      </x:c>
      <x:c r="AA178" s="142" t="n">
        <x:v>8927.445792482753</x:v>
      </x:c>
      <x:c r="AB178" s="142" t="n">
        <x:v>8868.619382430941</x:v>
      </x:c>
    </x:row>
    <x:row r="179">
      <x:c r="V179" s="141" t="n">
        <x:v>45469</x:v>
      </x:c>
      <x:c r="W179" s="142" t="n">
        <x:v>61806.01</x:v>
      </x:c>
      <x:c r="X179" s="142" t="n">
        <x:v>62487.81</x:v>
      </x:c>
      <x:c r="Y179" s="142" t="n">
        <x:v>60712</x:v>
      </x:c>
      <x:c r="Z179" s="142" t="n">
        <x:v>60864.99</x:v>
      </x:c>
      <x:c r="AA179" s="142" t="n">
        <x:v>8927.445792482753</x:v>
      </x:c>
      <x:c r="AB179" s="142" t="n">
        <x:v>8868.619382430941</x:v>
      </x:c>
    </x:row>
    <x:row r="180">
      <x:c r="V180" s="141" t="n">
        <x:v>45470</x:v>
      </x:c>
      <x:c r="W180" s="142" t="n">
        <x:v>60864.98</x:v>
      </x:c>
      <x:c r="X180" s="142" t="n">
        <x:v>62389.22</x:v>
      </x:c>
      <x:c r="Y180" s="142" t="n">
        <x:v>60606.63</x:v>
      </x:c>
      <x:c r="Z180" s="142" t="n">
        <x:v>61706.47</x:v>
      </x:c>
      <x:c r="AA180" s="142" t="n">
        <x:v>8927.445792482753</x:v>
      </x:c>
      <x:c r="AB180" s="142" t="n">
        <x:v>8868.619382430941</x:v>
      </x:c>
    </x:row>
    <x:row r="181">
      <x:c r="V181" s="141" t="n">
        <x:v>45471</x:v>
      </x:c>
      <x:c r="W181" s="142" t="n">
        <x:v>61706.46</x:v>
      </x:c>
      <x:c r="X181" s="142" t="n">
        <x:v>62225.31</x:v>
      </x:c>
      <x:c r="Y181" s="142" t="n">
        <x:v>60063</x:v>
      </x:c>
      <x:c r="Z181" s="142" t="n">
        <x:v>60427.84</x:v>
      </x:c>
      <x:c r="AA181" s="142" t="n">
        <x:v>8927.445792482753</x:v>
      </x:c>
      <x:c r="AB181" s="142" t="n">
        <x:v>8868.619382430941</x:v>
      </x:c>
    </x:row>
    <x:row r="182">
      <x:c r="V182" s="141" t="n">
        <x:v>45472</x:v>
      </x:c>
      <x:c r="W182" s="142" t="n">
        <x:v>60427.84</x:v>
      </x:c>
      <x:c r="X182" s="142" t="n">
        <x:v>61224</x:v>
      </x:c>
      <x:c r="Y182" s="142" t="n">
        <x:v>60383.77</x:v>
      </x:c>
      <x:c r="Z182" s="142" t="n">
        <x:v>60986.68</x:v>
      </x:c>
      <x:c r="AA182" s="142" t="n">
        <x:v>8927.445792482753</x:v>
      </x:c>
      <x:c r="AB182" s="142" t="n">
        <x:v>8868.619382430941</x:v>
      </x:c>
    </x:row>
    <x:row r="183">
      <x:c r="V183" s="141" t="n">
        <x:v>45473</x:v>
      </x:c>
      <x:c r="W183" s="142" t="n">
        <x:v>60986.68</x:v>
      </x:c>
      <x:c r="X183" s="142" t="n">
        <x:v>63058.76</x:v>
      </x:c>
      <x:c r="Y183" s="142" t="n">
        <x:v>60712.21</x:v>
      </x:c>
      <x:c r="Z183" s="142" t="n">
        <x:v>62772.01</x:v>
      </x:c>
      <x:c r="AA183" s="142" t="n">
        <x:v>8927.445792482753</x:v>
      </x:c>
      <x:c r="AB183" s="142" t="n">
        <x:v>8868.619382430941</x:v>
      </x:c>
    </x:row>
    <x:row r="184">
      <x:c r="V184" s="141" t="n">
        <x:v>45474</x:v>
      </x:c>
      <x:c r="W184" s="142" t="n">
        <x:v>62772.01</x:v>
      </x:c>
      <x:c r="X184" s="142" t="n">
        <x:v>63861.76</x:v>
      </x:c>
      <x:c r="Y184" s="142" t="n">
        <x:v>62497.2</x:v>
      </x:c>
      <x:c r="Z184" s="142" t="n">
        <x:v>62899.99</x:v>
      </x:c>
      <x:c r="AA184" s="142" t="n">
        <x:v>8927.445792482753</x:v>
      </x:c>
      <x:c r="AB184" s="142" t="n">
        <x:v>8868.619382430941</x:v>
      </x:c>
    </x:row>
    <x:row r="185">
      <x:c r="V185" s="141" t="n">
        <x:v>45475</x:v>
      </x:c>
      <x:c r="W185" s="142" t="n">
        <x:v>62900</x:v>
      </x:c>
      <x:c r="X185" s="142" t="n">
        <x:v>63288.83</x:v>
      </x:c>
      <x:c r="Y185" s="142" t="n">
        <x:v>61806.28</x:v>
      </x:c>
      <x:c r="Z185" s="142" t="n">
        <x:v>62135.47</x:v>
      </x:c>
      <x:c r="AA185" s="142" t="n">
        <x:v>8927.445792482753</x:v>
      </x:c>
      <x:c r="AB185" s="142" t="n">
        <x:v>8868.619382430941</x:v>
      </x:c>
    </x:row>
    <x:row r="186">
      <x:c r="V186" s="141" t="n">
        <x:v>45476</x:v>
      </x:c>
      <x:c r="W186" s="142" t="n">
        <x:v>62135.46</x:v>
      </x:c>
      <x:c r="X186" s="142" t="n">
        <x:v>62285.94</x:v>
      </x:c>
      <x:c r="Y186" s="142" t="n">
        <x:v>59400</x:v>
      </x:c>
      <x:c r="Z186" s="142" t="n">
        <x:v>60208.58</x:v>
      </x:c>
      <x:c r="AA186" s="142" t="n">
        <x:v>8927.445792482753</x:v>
      </x:c>
      <x:c r="AB186" s="142" t="n">
        <x:v>8868.619382430941</x:v>
      </x:c>
    </x:row>
    <x:row r="187">
      <x:c r="V187" s="141" t="n">
        <x:v>45477</x:v>
      </x:c>
      <x:c r="W187" s="142" t="n">
        <x:v>60208.57</x:v>
      </x:c>
      <x:c r="X187" s="142" t="n">
        <x:v>60498.19</x:v>
      </x:c>
      <x:c r="Y187" s="142" t="n">
        <x:v>56771</x:v>
      </x:c>
      <x:c r="Z187" s="142" t="n">
        <x:v>57050.01</x:v>
      </x:c>
      <x:c r="AA187" s="142" t="n">
        <x:v>8927.445792482753</x:v>
      </x:c>
      <x:c r="AB187" s="142" t="n">
        <x:v>8868.619382430941</x:v>
      </x:c>
    </x:row>
    <x:row r="188">
      <x:c r="V188" s="141" t="n">
        <x:v>45478</x:v>
      </x:c>
      <x:c r="W188" s="142" t="n">
        <x:v>57050.02</x:v>
      </x:c>
      <x:c r="X188" s="142" t="n">
        <x:v>57546</x:v>
      </x:c>
      <x:c r="Y188" s="142" t="n">
        <x:v>53485.93</x:v>
      </x:c>
      <x:c r="Z188" s="142" t="n">
        <x:v>56628.79</x:v>
      </x:c>
      <x:c r="AA188" s="142" t="n">
        <x:v>8927.445792482753</x:v>
      </x:c>
      <x:c r="AB188" s="142" t="n">
        <x:v>8868.619382430941</x:v>
      </x:c>
    </x:row>
    <x:row r="189">
      <x:c r="V189" s="141" t="n">
        <x:v>45479</x:v>
      </x:c>
      <x:c r="W189" s="142" t="n">
        <x:v>56628.79</x:v>
      </x:c>
      <x:c r="X189" s="142" t="n">
        <x:v>58475</x:v>
      </x:c>
      <x:c r="Y189" s="142" t="n">
        <x:v>56018</x:v>
      </x:c>
      <x:c r="Z189" s="142" t="n">
        <x:v>58230.13</x:v>
      </x:c>
      <x:c r="AA189" s="142" t="n">
        <x:v>8927.445792482753</x:v>
      </x:c>
      <x:c r="AB189" s="142" t="n">
        <x:v>8868.619382430941</x:v>
      </x:c>
    </x:row>
    <x:row r="190">
      <x:c r="V190" s="141" t="n">
        <x:v>45480</x:v>
      </x:c>
      <x:c r="W190" s="142" t="n">
        <x:v>58230.13</x:v>
      </x:c>
      <x:c r="X190" s="142" t="n">
        <x:v>58449.46</x:v>
      </x:c>
      <x:c r="Y190" s="142" t="n">
        <x:v>55724.37</x:v>
      </x:c>
      <x:c r="Z190" s="142" t="n">
        <x:v>55857.81</x:v>
      </x:c>
      <x:c r="AA190" s="142" t="n">
        <x:v>8927.445792482753</x:v>
      </x:c>
      <x:c r="AB190" s="142" t="n">
        <x:v>8868.619382430941</x:v>
      </x:c>
    </x:row>
    <x:row r="191">
      <x:c r="V191" s="141" t="n">
        <x:v>45481</x:v>
      </x:c>
      <x:c r="W191" s="142" t="n">
        <x:v>55857.81</x:v>
      </x:c>
      <x:c r="X191" s="142" t="n">
        <x:v>58236.73</x:v>
      </x:c>
      <x:c r="Y191" s="142" t="n">
        <x:v>54260.16</x:v>
      </x:c>
      <x:c r="Z191" s="142" t="n">
        <x:v>56714.62</x:v>
      </x:c>
      <x:c r="AA191" s="142" t="n">
        <x:v>8927.445792482753</x:v>
      </x:c>
      <x:c r="AB191" s="142" t="n">
        <x:v>8868.619382430941</x:v>
      </x:c>
    </x:row>
    <x:row r="192">
      <x:c r="V192" s="141" t="n">
        <x:v>45482</x:v>
      </x:c>
      <x:c r="W192" s="142" t="n">
        <x:v>56714.61</x:v>
      </x:c>
      <x:c r="X192" s="142" t="n">
        <x:v>58296</x:v>
      </x:c>
      <x:c r="Y192" s="142" t="n">
        <x:v>56289.45</x:v>
      </x:c>
      <x:c r="Z192" s="142" t="n">
        <x:v>58050</x:v>
      </x:c>
      <x:c r="AA192" s="142" t="n">
        <x:v>8927.445792482753</x:v>
      </x:c>
      <x:c r="AB192" s="142" t="n">
        <x:v>8868.619382430941</x:v>
      </x:c>
    </x:row>
    <x:row r="193">
      <x:c r="V193" s="141" t="n">
        <x:v>45483</x:v>
      </x:c>
      <x:c r="W193" s="142" t="n">
        <x:v>58050</x:v>
      </x:c>
      <x:c r="X193" s="142" t="n">
        <x:v>59470</x:v>
      </x:c>
      <x:c r="Y193" s="142" t="n">
        <x:v>57157.79</x:v>
      </x:c>
      <x:c r="Z193" s="142" t="n">
        <x:v>57725.85</x:v>
      </x:c>
      <x:c r="AA193" s="142" t="n">
        <x:v>8927.445792482753</x:v>
      </x:c>
      <x:c r="AB193" s="142" t="n">
        <x:v>8868.619382430941</x:v>
      </x:c>
    </x:row>
    <x:row r="194">
      <x:c r="V194" s="141" t="n">
        <x:v>45484</x:v>
      </x:c>
      <x:c r="W194" s="142" t="n">
        <x:v>57725.85</x:v>
      </x:c>
      <x:c r="X194" s="142" t="n">
        <x:v>59650</x:v>
      </x:c>
      <x:c r="Y194" s="142" t="n">
        <x:v>57050</x:v>
      </x:c>
      <x:c r="Z194" s="142" t="n">
        <x:v>57339.89</x:v>
      </x:c>
      <x:c r="AA194" s="142" t="n">
        <x:v>8927.445792482753</x:v>
      </x:c>
      <x:c r="AB194" s="142" t="n">
        <x:v>8868.619382430941</x:v>
      </x:c>
    </x:row>
    <x:row r="195">
      <x:c r="V195" s="141" t="n">
        <x:v>45485</x:v>
      </x:c>
      <x:c r="W195" s="142" t="n">
        <x:v>57339.89</x:v>
      </x:c>
      <x:c r="X195" s="142" t="n">
        <x:v>58526.68</x:v>
      </x:c>
      <x:c r="Y195" s="142" t="n">
        <x:v>56542.47</x:v>
      </x:c>
      <x:c r="Z195" s="142" t="n">
        <x:v>57889.1</x:v>
      </x:c>
      <x:c r="AA195" s="142" t="n">
        <x:v>8927.445792482753</x:v>
      </x:c>
      <x:c r="AB195" s="142" t="n">
        <x:v>8868.619382430941</x:v>
      </x:c>
    </x:row>
    <x:row r="196">
      <x:c r="V196" s="141" t="n">
        <x:v>45486</x:v>
      </x:c>
      <x:c r="W196" s="142" t="n">
        <x:v>57889.09</x:v>
      </x:c>
      <x:c r="X196" s="142" t="n">
        <x:v>59850</x:v>
      </x:c>
      <x:c r="Y196" s="142" t="n">
        <x:v>57756.63</x:v>
      </x:c>
      <x:c r="Z196" s="142" t="n">
        <x:v>59204.02</x:v>
      </x:c>
      <x:c r="AA196" s="142" t="n">
        <x:v>8927.445792482753</x:v>
      </x:c>
      <x:c r="AB196" s="142" t="n">
        <x:v>8868.619382430941</x:v>
      </x:c>
    </x:row>
    <x:row r="197">
      <x:c r="V197" s="141" t="n">
        <x:v>45487</x:v>
      </x:c>
      <x:c r="W197" s="142" t="n">
        <x:v>59204.01</x:v>
      </x:c>
      <x:c r="X197" s="142" t="n">
        <x:v>61420.69</x:v>
      </x:c>
      <x:c r="Y197" s="142" t="n">
        <x:v>59194.01</x:v>
      </x:c>
      <x:c r="Z197" s="142" t="n">
        <x:v>60797.91</x:v>
      </x:c>
      <x:c r="AA197" s="142" t="n">
        <x:v>8927.445792482753</x:v>
      </x:c>
      <x:c r="AB197" s="142" t="n">
        <x:v>8868.619382430941</x:v>
      </x:c>
    </x:row>
    <x:row r="198">
      <x:c r="V198" s="141" t="n">
        <x:v>45488</x:v>
      </x:c>
      <x:c r="W198" s="142" t="n">
        <x:v>60797.91</x:v>
      </x:c>
      <x:c r="X198" s="142" t="n">
        <x:v>64900</x:v>
      </x:c>
      <x:c r="Y198" s="142" t="n">
        <x:v>60632.3</x:v>
      </x:c>
      <x:c r="Z198" s="142" t="n">
        <x:v>64724.14</x:v>
      </x:c>
      <x:c r="AA198" s="142" t="n">
        <x:v>8927.445792482753</x:v>
      </x:c>
      <x:c r="AB198" s="142" t="n">
        <x:v>8868.619382430941</x:v>
      </x:c>
    </x:row>
    <x:row r="199">
      <x:c r="V199" s="141" t="n">
        <x:v>45489</x:v>
      </x:c>
      <x:c r="W199" s="142" t="n">
        <x:v>64724.06</x:v>
      </x:c>
      <x:c r="X199" s="142" t="n">
        <x:v>65388.97</x:v>
      </x:c>
      <x:c r="Y199" s="142" t="n">
        <x:v>62373.24</x:v>
      </x:c>
      <x:c r="Z199" s="142" t="n">
        <x:v>65043.99</x:v>
      </x:c>
      <x:c r="AA199" s="142" t="n">
        <x:v>8927.445792482753</x:v>
      </x:c>
      <x:c r="AB199" s="142" t="n">
        <x:v>8868.619382430941</x:v>
      </x:c>
    </x:row>
    <x:row r="200">
      <x:c r="V200" s="141" t="n">
        <x:v>45490</x:v>
      </x:c>
      <x:c r="W200" s="142" t="n">
        <x:v>65044</x:v>
      </x:c>
      <x:c r="X200" s="142" t="n">
        <x:v>66128.63</x:v>
      </x:c>
      <x:c r="Y200" s="142" t="n">
        <x:v>63854</x:v>
      </x:c>
      <x:c r="Z200" s="142" t="n">
        <x:v>64087.99</x:v>
      </x:c>
      <x:c r="AA200" s="142" t="n">
        <x:v>8927.445792482753</x:v>
      </x:c>
      <x:c r="AB200" s="142" t="n">
        <x:v>8868.619382430941</x:v>
      </x:c>
    </x:row>
    <x:row r="201">
      <x:c r="V201" s="141" t="n">
        <x:v>45491</x:v>
      </x:c>
      <x:c r="W201" s="142" t="n">
        <x:v>64087.99</x:v>
      </x:c>
      <x:c r="X201" s="142" t="n">
        <x:v>65133.3</x:v>
      </x:c>
      <x:c r="Y201" s="142" t="n">
        <x:v>63238.48</x:v>
      </x:c>
      <x:c r="Z201" s="142" t="n">
        <x:v>63987.92</x:v>
      </x:c>
      <x:c r="AA201" s="142" t="n">
        <x:v>8927.445792482753</x:v>
      </x:c>
      <x:c r="AB201" s="142" t="n">
        <x:v>8868.619382430941</x:v>
      </x:c>
    </x:row>
    <x:row r="202">
      <x:c r="V202" s="141" t="n">
        <x:v>45492</x:v>
      </x:c>
      <x:c r="W202" s="142" t="n">
        <x:v>63987.92</x:v>
      </x:c>
      <x:c r="X202" s="142" t="n">
        <x:v>67386</x:v>
      </x:c>
      <x:c r="Y202" s="142" t="n">
        <x:v>63300.67</x:v>
      </x:c>
      <x:c r="Z202" s="142" t="n">
        <x:v>66660</x:v>
      </x:c>
      <x:c r="AA202" s="142" t="n">
        <x:v>8927.445792482753</x:v>
      </x:c>
      <x:c r="AB202" s="142" t="n">
        <x:v>8868.619382430941</x:v>
      </x:c>
    </x:row>
    <x:row r="203">
      <x:c r="V203" s="141" t="n">
        <x:v>45493</x:v>
      </x:c>
      <x:c r="W203" s="142" t="n">
        <x:v>66660.01</x:v>
      </x:c>
      <x:c r="X203" s="142" t="n">
        <x:v>67598</x:v>
      </x:c>
      <x:c r="Y203" s="142" t="n">
        <x:v>66222.46</x:v>
      </x:c>
      <x:c r="Z203" s="142" t="n">
        <x:v>67139.96</x:v>
      </x:c>
      <x:c r="AA203" s="142" t="n">
        <x:v>8927.445792482753</x:v>
      </x:c>
      <x:c r="AB203" s="142" t="n">
        <x:v>8868.619382430941</x:v>
      </x:c>
    </x:row>
    <x:row r="204">
      <x:c r="V204" s="141" t="n">
        <x:v>45494</x:v>
      </x:c>
      <x:c r="W204" s="142" t="n">
        <x:v>67139.97</x:v>
      </x:c>
      <x:c r="X204" s="142" t="n">
        <x:v>68366.66</x:v>
      </x:c>
      <x:c r="Y204" s="142" t="n">
        <x:v>65777</x:v>
      </x:c>
      <x:c r="Z204" s="142" t="n">
        <x:v>68165.34</x:v>
      </x:c>
      <x:c r="AA204" s="142" t="n">
        <x:v>8927.445792482753</x:v>
      </x:c>
      <x:c r="AB204" s="142" t="n">
        <x:v>8868.619382430941</x:v>
      </x:c>
    </x:row>
    <x:row r="205">
      <x:c r="V205" s="141" t="n">
        <x:v>45495</x:v>
      </x:c>
      <x:c r="W205" s="142" t="n">
        <x:v>68165.35</x:v>
      </x:c>
      <x:c r="X205" s="142" t="n">
        <x:v>68474.55</x:v>
      </x:c>
      <x:c r="Y205" s="142" t="n">
        <x:v>66559.97</x:v>
      </x:c>
      <x:c r="Z205" s="142" t="n">
        <x:v>67532.01</x:v>
      </x:c>
      <x:c r="AA205" s="142" t="n">
        <x:v>8927.445792482753</x:v>
      </x:c>
      <x:c r="AB205" s="142" t="n">
        <x:v>8868.619382430941</x:v>
      </x:c>
    </x:row>
    <x:row r="206">
      <x:c r="V206" s="141" t="n">
        <x:v>45496</x:v>
      </x:c>
      <x:c r="W206" s="142" t="n">
        <x:v>67532</x:v>
      </x:c>
      <x:c r="X206" s="142" t="n">
        <x:v>67750.98</x:v>
      </x:c>
      <x:c r="Y206" s="142" t="n">
        <x:v>65441.08</x:v>
      </x:c>
      <x:c r="Z206" s="142" t="n">
        <x:v>65936.01</x:v>
      </x:c>
      <x:c r="AA206" s="142" t="n">
        <x:v>8927.445792482753</x:v>
      </x:c>
      <x:c r="AB206" s="142" t="n">
        <x:v>8868.619382430941</x:v>
      </x:c>
    </x:row>
    <x:row r="207">
      <x:c r="V207" s="141" t="n">
        <x:v>45497</x:v>
      </x:c>
      <x:c r="W207" s="142" t="n">
        <x:v>65936</x:v>
      </x:c>
      <x:c r="X207" s="142" t="n">
        <x:v>67102.01</x:v>
      </x:c>
      <x:c r="Y207" s="142" t="n">
        <x:v>65111</x:v>
      </x:c>
      <x:c r="Z207" s="142" t="n">
        <x:v>65376</x:v>
      </x:c>
      <x:c r="AA207" s="142" t="n">
        <x:v>8927.445792482753</x:v>
      </x:c>
      <x:c r="AB207" s="142" t="n">
        <x:v>8868.619382430941</x:v>
      </x:c>
    </x:row>
    <x:row r="208">
      <x:c r="V208" s="141" t="n">
        <x:v>45498</x:v>
      </x:c>
      <x:c r="W208" s="142" t="n">
        <x:v>65376.01</x:v>
      </x:c>
      <x:c r="X208" s="142" t="n">
        <x:v>66175.49</x:v>
      </x:c>
      <x:c r="Y208" s="142" t="n">
        <x:v>63456.7</x:v>
      </x:c>
      <x:c r="Z208" s="142" t="n">
        <x:v>65799.95</x:v>
      </x:c>
      <x:c r="AA208" s="142" t="n">
        <x:v>8927.445792482753</x:v>
      </x:c>
      <x:c r="AB208" s="142" t="n">
        <x:v>8868.619382430941</x:v>
      </x:c>
    </x:row>
    <x:row r="209">
      <x:c r="V209" s="141" t="n">
        <x:v>45499</x:v>
      </x:c>
      <x:c r="W209" s="142" t="n">
        <x:v>65799.95</x:v>
      </x:c>
      <x:c r="X209" s="142" t="n">
        <x:v>68200</x:v>
      </x:c>
      <x:c r="Y209" s="142" t="n">
        <x:v>65722.63</x:v>
      </x:c>
      <x:c r="Z209" s="142" t="n">
        <x:v>67907.99</x:v>
      </x:c>
      <x:c r="AA209" s="142" t="n">
        <x:v>8927.445792482753</x:v>
      </x:c>
      <x:c r="AB209" s="142" t="n">
        <x:v>8868.619382430941</x:v>
      </x:c>
    </x:row>
    <x:row r="210">
      <x:c r="V210" s="141" t="n">
        <x:v>45500</x:v>
      </x:c>
      <x:c r="W210" s="142" t="n">
        <x:v>67908</x:v>
      </x:c>
      <x:c r="X210" s="142" t="n">
        <x:v>69399.99</x:v>
      </x:c>
      <x:c r="Y210" s="142" t="n">
        <x:v>66650</x:v>
      </x:c>
      <x:c r="Z210" s="142" t="n">
        <x:v>67896.5</x:v>
      </x:c>
      <x:c r="AA210" s="142" t="n">
        <x:v>8927.445792482753</x:v>
      </x:c>
      <x:c r="AB210" s="142" t="n">
        <x:v>8868.619382430941</x:v>
      </x:c>
    </x:row>
    <x:row r="211">
      <x:c r="V211" s="141" t="n">
        <x:v>45501</x:v>
      </x:c>
      <x:c r="W211" s="142" t="n">
        <x:v>67896.49</x:v>
      </x:c>
      <x:c r="X211" s="142" t="n">
        <x:v>68318.43</x:v>
      </x:c>
      <x:c r="Y211" s="142" t="n">
        <x:v>67066.66</x:v>
      </x:c>
      <x:c r="Z211" s="142" t="n">
        <x:v>68249.88</x:v>
      </x:c>
      <x:c r="AA211" s="142" t="n">
        <x:v>8927.445792482753</x:v>
      </x:c>
      <x:c r="AB211" s="142" t="n">
        <x:v>8868.619382430941</x:v>
      </x:c>
    </x:row>
    <x:row r="212">
      <x:c r="V212" s="141" t="n">
        <x:v>45502</x:v>
      </x:c>
      <x:c r="W212" s="142" t="n">
        <x:v>68249.88</x:v>
      </x:c>
      <x:c r="X212" s="142" t="n">
        <x:v>70079.99</x:v>
      </x:c>
      <x:c r="Y212" s="142" t="n">
        <x:v>66428</x:v>
      </x:c>
      <x:c r="Z212" s="142" t="n">
        <x:v>66784.69</x:v>
      </x:c>
      <x:c r="AA212" s="142" t="n">
        <x:v>8927.445792482753</x:v>
      </x:c>
      <x:c r="AB212" s="142" t="n">
        <x:v>8868.619382430941</x:v>
      </x:c>
    </x:row>
    <x:row r="213">
      <x:c r="V213" s="141" t="n">
        <x:v>45503</x:v>
      </x:c>
      <x:c r="W213" s="142" t="n">
        <x:v>66784.68</x:v>
      </x:c>
      <x:c r="X213" s="142" t="n">
        <x:v>67000</x:v>
      </x:c>
      <x:c r="Y213" s="142" t="n">
        <x:v>65302.67</x:v>
      </x:c>
      <x:c r="Z213" s="142" t="n">
        <x:v>66188</x:v>
      </x:c>
      <x:c r="AA213" s="142" t="n">
        <x:v>8927.445792482753</x:v>
      </x:c>
      <x:c r="AB213" s="142" t="n">
        <x:v>8868.619382430941</x:v>
      </x:c>
    </x:row>
    <x:row r="214">
      <x:c r="V214" s="141" t="n">
        <x:v>45504</x:v>
      </x:c>
      <x:c r="W214" s="142" t="n">
        <x:v>66188</x:v>
      </x:c>
      <x:c r="X214" s="142" t="n">
        <x:v>66849.24</x:v>
      </x:c>
      <x:c r="Y214" s="142" t="n">
        <x:v>64530</x:v>
      </x:c>
      <x:c r="Z214" s="142" t="n">
        <x:v>64628</x:v>
      </x:c>
      <x:c r="AA214" s="142" t="n">
        <x:v>8927.445792482753</x:v>
      </x:c>
      <x:c r="AB214" s="142" t="n">
        <x:v>8868.619382430941</x:v>
      </x:c>
    </x:row>
    <x:row r="215">
      <x:c r="V215" s="141" t="n">
        <x:v>45505</x:v>
      </x:c>
      <x:c r="W215" s="142" t="n">
        <x:v>64628.01</x:v>
      </x:c>
      <x:c r="X215" s="142" t="n">
        <x:v>65659.78</x:v>
      </x:c>
      <x:c r="Y215" s="142" t="n">
        <x:v>62302</x:v>
      </x:c>
      <x:c r="Z215" s="142" t="n">
        <x:v>65354.02</x:v>
      </x:c>
      <x:c r="AA215" s="142" t="n">
        <x:v>8927.445792482753</x:v>
      </x:c>
      <x:c r="AB215" s="142" t="n">
        <x:v>8868.619382430941</x:v>
      </x:c>
    </x:row>
    <x:row r="216">
      <x:c r="V216" s="141" t="n">
        <x:v>45506</x:v>
      </x:c>
      <x:c r="W216" s="142" t="n">
        <x:v>65354.02</x:v>
      </x:c>
      <x:c r="X216" s="142" t="n">
        <x:v>65596.14</x:v>
      </x:c>
      <x:c r="Y216" s="142" t="n">
        <x:v>61230.01</x:v>
      </x:c>
      <x:c r="Z216" s="142" t="n">
        <x:v>61498.33</x:v>
      </x:c>
      <x:c r="AA216" s="142" t="n">
        <x:v>8327.475963541856</x:v>
      </x:c>
      <x:c r="AB216" s="142" t="n">
        <x:v>8268.649553490044</x:v>
      </x:c>
    </x:row>
    <x:row r="217">
      <x:c r="V217" s="141" t="n">
        <x:v>45507</x:v>
      </x:c>
      <x:c r="W217" s="142" t="n">
        <x:v>61498.34</x:v>
      </x:c>
      <x:c r="X217" s="142" t="n">
        <x:v>62198.22</x:v>
      </x:c>
      <x:c r="Y217" s="142" t="n">
        <x:v>59850</x:v>
      </x:c>
      <x:c r="Z217" s="142" t="n">
        <x:v>60697.99</x:v>
      </x:c>
      <x:c r="AA217" s="142" t="n">
        <x:v>8318.067461968425</x:v>
      </x:c>
      <x:c r="AB217" s="142" t="n">
        <x:v>8146.187308627371</x:v>
      </x:c>
    </x:row>
    <x:row r="218">
      <x:c r="V218" s="141" t="n">
        <x:v>45508</x:v>
      </x:c>
      <x:c r="W218" s="142" t="n">
        <x:v>60697.99</x:v>
      </x:c>
      <x:c r="X218" s="142" t="n">
        <x:v>61117.63</x:v>
      </x:c>
      <x:c r="Y218" s="142" t="n">
        <x:v>57122.77</x:v>
      </x:c>
      <x:c r="Z218" s="142" t="n">
        <x:v>58161</x:v>
      </x:c>
      <x:c r="AA218" s="142" t="n">
        <x:v>8318.067461968425</x:v>
      </x:c>
      <x:c r="AB218" s="142" t="n">
        <x:v>7757.995426934402</x:v>
      </x:c>
    </x:row>
    <x:row r="219">
      <x:c r="V219" s="141" t="n">
        <x:v>45509</x:v>
      </x:c>
      <x:c r="W219" s="142" t="n">
        <x:v>58161</x:v>
      </x:c>
      <x:c r="X219" s="142" t="n">
        <x:v>58305.59</x:v>
      </x:c>
      <x:c r="Y219" s="142" t="n">
        <x:v>49000</x:v>
      </x:c>
      <x:c r="Z219" s="142" t="n">
        <x:v>54018.81</x:v>
      </x:c>
      <x:c r="AA219" s="142" t="n">
        <x:v>8318.067461968425</x:v>
      </x:c>
      <x:c r="AB219" s="142" t="n">
        <x:v>7749.096050889898</x:v>
      </x:c>
    </x:row>
    <x:row r="220">
      <x:c r="V220" s="141" t="n">
        <x:v>45510</x:v>
      </x:c>
      <x:c r="W220" s="142" t="n">
        <x:v>54018.82</x:v>
      </x:c>
      <x:c r="X220" s="142" t="n">
        <x:v>57040.99</x:v>
      </x:c>
      <x:c r="Y220" s="142" t="n">
        <x:v>53950</x:v>
      </x:c>
      <x:c r="Z220" s="142" t="n">
        <x:v>56022.01</x:v>
      </x:c>
      <x:c r="AA220" s="142" t="n">
        <x:v>8318.067461968425</x:v>
      </x:c>
      <x:c r="AB220" s="142" t="n">
        <x:v>7749.096050889898</x:v>
      </x:c>
    </x:row>
    <x:row r="221">
      <x:c r="V221" s="141" t="n">
        <x:v>45511</x:v>
      </x:c>
      <x:c r="W221" s="142" t="n">
        <x:v>56022</x:v>
      </x:c>
      <x:c r="X221" s="142" t="n">
        <x:v>57736.05</x:v>
      </x:c>
      <x:c r="Y221" s="142" t="n">
        <x:v>54558.62</x:v>
      </x:c>
      <x:c r="Z221" s="142" t="n">
        <x:v>55134.16</x:v>
      </x:c>
      <x:c r="AA221" s="142" t="n">
        <x:v>8318.067461968425</x:v>
      </x:c>
      <x:c r="AB221" s="142" t="n">
        <x:v>7749.096050889898</x:v>
      </x:c>
    </x:row>
    <x:row r="222">
      <x:c r="V222" s="141" t="n">
        <x:v>45512</x:v>
      </x:c>
      <x:c r="W222" s="142" t="n">
        <x:v>55133.76</x:v>
      </x:c>
      <x:c r="X222" s="142" t="n">
        <x:v>62745.14</x:v>
      </x:c>
      <x:c r="Y222" s="142" t="n">
        <x:v>54730</x:v>
      </x:c>
      <x:c r="Z222" s="142" t="n">
        <x:v>61685.99</x:v>
      </x:c>
      <x:c r="AA222" s="142" t="n">
        <x:v>8318.067461968425</x:v>
      </x:c>
      <x:c r="AB222" s="142" t="n">
        <x:v>7749.096050889898</x:v>
      </x:c>
    </x:row>
    <x:row r="223">
      <x:c r="V223" s="141" t="n">
        <x:v>45513</x:v>
      </x:c>
      <x:c r="W223" s="142" t="n">
        <x:v>61686</x:v>
      </x:c>
      <x:c r="X223" s="142" t="n">
        <x:v>61744.37</x:v>
      </x:c>
      <x:c r="Y223" s="142" t="n">
        <x:v>59535</x:v>
      </x:c>
      <x:c r="Z223" s="142" t="n">
        <x:v>60837.99</x:v>
      </x:c>
      <x:c r="AA223" s="142" t="n">
        <x:v>8318.067461968425</x:v>
      </x:c>
      <x:c r="AB223" s="142" t="n">
        <x:v>7749.096050889898</x:v>
      </x:c>
    </x:row>
    <x:row r="224">
      <x:c r="V224" s="141" t="n">
        <x:v>45514</x:v>
      </x:c>
      <x:c r="W224" s="142" t="n">
        <x:v>60837.99</x:v>
      </x:c>
      <x:c r="X224" s="142" t="n">
        <x:v>61470.58</x:v>
      </x:c>
      <x:c r="Y224" s="142" t="n">
        <x:v>60242</x:v>
      </x:c>
      <x:c r="Z224" s="142" t="n">
        <x:v>60923.51</x:v>
      </x:c>
      <x:c r="AA224" s="142" t="n">
        <x:v>8318.067461968425</x:v>
      </x:c>
      <x:c r="AB224" s="142" t="n">
        <x:v>7749.096050889898</x:v>
      </x:c>
    </x:row>
    <x:row r="225">
      <x:c r="V225" s="141" t="n">
        <x:v>45515</x:v>
      </x:c>
      <x:c r="W225" s="142" t="n">
        <x:v>60923.51</x:v>
      </x:c>
      <x:c r="X225" s="142" t="n">
        <x:v>61858</x:v>
      </x:c>
      <x:c r="Y225" s="142" t="n">
        <x:v>58286.73</x:v>
      </x:c>
      <x:c r="Z225" s="142" t="n">
        <x:v>58712.59</x:v>
      </x:c>
      <x:c r="AA225" s="142" t="n">
        <x:v>8318.067461968425</x:v>
      </x:c>
      <x:c r="AB225" s="142" t="n">
        <x:v>7749.096050889898</x:v>
      </x:c>
    </x:row>
    <x:row r="226">
      <x:c r="V226" s="141" t="n">
        <x:v>45516</x:v>
      </x:c>
      <x:c r="W226" s="142" t="n">
        <x:v>58712.59</x:v>
      </x:c>
      <x:c r="X226" s="142" t="n">
        <x:v>60711.09</x:v>
      </x:c>
      <x:c r="Y226" s="142" t="n">
        <x:v>57642.21</x:v>
      </x:c>
      <x:c r="Z226" s="142" t="n">
        <x:v>59346.64</x:v>
      </x:c>
      <x:c r="AA226" s="142" t="n">
        <x:v>8318.067461968425</x:v>
      </x:c>
      <x:c r="AB226" s="142" t="n">
        <x:v>7749.096050889898</x:v>
      </x:c>
    </x:row>
    <x:row r="227">
      <x:c r="V227" s="141" t="n">
        <x:v>45517</x:v>
      </x:c>
      <x:c r="W227" s="142" t="n">
        <x:v>59346.64</x:v>
      </x:c>
      <x:c r="X227" s="142" t="n">
        <x:v>61578.1</x:v>
      </x:c>
      <x:c r="Y227" s="142" t="n">
        <x:v>58392.88</x:v>
      </x:c>
      <x:c r="Z227" s="142" t="n">
        <x:v>60587.15</x:v>
      </x:c>
      <x:c r="AA227" s="142" t="n">
        <x:v>8318.067461968425</x:v>
      </x:c>
      <x:c r="AB227" s="142" t="n">
        <x:v>7749.096050889898</x:v>
      </x:c>
    </x:row>
    <x:row r="228">
      <x:c r="V228" s="141" t="n">
        <x:v>45518</x:v>
      </x:c>
      <x:c r="W228" s="142" t="n">
        <x:v>60587.16</x:v>
      </x:c>
      <x:c r="X228" s="142" t="n">
        <x:v>61800</x:v>
      </x:c>
      <x:c r="Y228" s="142" t="n">
        <x:v>58433.18</x:v>
      </x:c>
      <x:c r="Z228" s="142" t="n">
        <x:v>58683.39</x:v>
      </x:c>
      <x:c r="AA228" s="142" t="n">
        <x:v>8318.067461968425</x:v>
      </x:c>
      <x:c r="AB228" s="142" t="n">
        <x:v>7749.096050889898</x:v>
      </x:c>
    </x:row>
    <x:row r="229">
      <x:c r="V229" s="141" t="n">
        <x:v>45519</x:v>
      </x:c>
      <x:c r="W229" s="142" t="n">
        <x:v>58683.39</x:v>
      </x:c>
      <x:c r="X229" s="142" t="n">
        <x:v>59849.38</x:v>
      </x:c>
      <x:c r="Y229" s="142" t="n">
        <x:v>56078.54</x:v>
      </x:c>
      <x:c r="Z229" s="142" t="n">
        <x:v>57541.06</x:v>
      </x:c>
      <x:c r="AA229" s="142" t="n">
        <x:v>8318.067461968425</x:v>
      </x:c>
      <x:c r="AB229" s="142" t="n">
        <x:v>7749.096050889898</x:v>
      </x:c>
    </x:row>
    <x:row r="230">
      <x:c r="V230" s="141" t="n">
        <x:v>45520</x:v>
      </x:c>
      <x:c r="W230" s="142" t="n">
        <x:v>57541.05</x:v>
      </x:c>
      <x:c r="X230" s="142" t="n">
        <x:v>59817.76</x:v>
      </x:c>
      <x:c r="Y230" s="142" t="n">
        <x:v>57098.62</x:v>
      </x:c>
      <x:c r="Z230" s="142" t="n">
        <x:v>58874.6</x:v>
      </x:c>
      <x:c r="AA230" s="142" t="n">
        <x:v>8318.067461968425</x:v>
      </x:c>
      <x:c r="AB230" s="142" t="n">
        <x:v>7749.096050889898</x:v>
      </x:c>
    </x:row>
    <x:row r="231">
      <x:c r="V231" s="141" t="n">
        <x:v>45521</x:v>
      </x:c>
      <x:c r="W231" s="142" t="n">
        <x:v>58874.59</x:v>
      </x:c>
      <x:c r="X231" s="142" t="n">
        <x:v>59700</x:v>
      </x:c>
      <x:c r="Y231" s="142" t="n">
        <x:v>58785.05</x:v>
      </x:c>
      <x:c r="Z231" s="142" t="n">
        <x:v>59491.99</x:v>
      </x:c>
      <x:c r="AA231" s="142" t="n">
        <x:v>8318.067461968425</x:v>
      </x:c>
      <x:c r="AB231" s="142" t="n">
        <x:v>7749.096050889898</x:v>
      </x:c>
    </x:row>
    <x:row r="232">
      <x:c r="V232" s="141" t="n">
        <x:v>45522</x:v>
      </x:c>
      <x:c r="W232" s="142" t="n">
        <x:v>59491.99</x:v>
      </x:c>
      <x:c r="X232" s="142" t="n">
        <x:v>60284.99</x:v>
      </x:c>
      <x:c r="Y232" s="142" t="n">
        <x:v>58408.92</x:v>
      </x:c>
      <x:c r="Z232" s="142" t="n">
        <x:v>58427.35</x:v>
      </x:c>
      <x:c r="AA232" s="142" t="n">
        <x:v>8318.067461968425</x:v>
      </x:c>
      <x:c r="AB232" s="142" t="n">
        <x:v>7749.096050889898</x:v>
      </x:c>
    </x:row>
    <x:row r="233">
      <x:c r="V233" s="141" t="n">
        <x:v>45523</x:v>
      </x:c>
      <x:c r="W233" s="142" t="n">
        <x:v>58427.35</x:v>
      </x:c>
      <x:c r="X233" s="142" t="n">
        <x:v>59617.63</x:v>
      </x:c>
      <x:c r="Y233" s="142" t="n">
        <x:v>57787.3</x:v>
      </x:c>
      <x:c r="Z233" s="142" t="n">
        <x:v>59438.5</x:v>
      </x:c>
      <x:c r="AA233" s="142" t="n">
        <x:v>8318.067461968425</x:v>
      </x:c>
      <x:c r="AB233" s="142" t="n">
        <x:v>7749.096050889898</x:v>
      </x:c>
    </x:row>
    <x:row r="234">
      <x:c r="V234" s="141" t="n">
        <x:v>45524</x:v>
      </x:c>
      <x:c r="W234" s="142" t="n">
        <x:v>59438.5</x:v>
      </x:c>
      <x:c r="X234" s="142" t="n">
        <x:v>61400</x:v>
      </x:c>
      <x:c r="Y234" s="142" t="n">
        <x:v>58548.23</x:v>
      </x:c>
      <x:c r="Z234" s="142" t="n">
        <x:v>59013.8</x:v>
      </x:c>
      <x:c r="AA234" s="142" t="n">
        <x:v>8318.067461968425</x:v>
      </x:c>
      <x:c r="AB234" s="142" t="n">
        <x:v>7749.096050889898</x:v>
      </x:c>
    </x:row>
    <x:row r="235">
      <x:c r="V235" s="141" t="n">
        <x:v>45525</x:v>
      </x:c>
      <x:c r="W235" s="142" t="n">
        <x:v>59013.8</x:v>
      </x:c>
      <x:c r="X235" s="142" t="n">
        <x:v>61820.93</x:v>
      </x:c>
      <x:c r="Y235" s="142" t="n">
        <x:v>58783.47</x:v>
      </x:c>
      <x:c r="Z235" s="142" t="n">
        <x:v>61156.03</x:v>
      </x:c>
      <x:c r="AA235" s="142" t="n">
        <x:v>8318.067461968425</x:v>
      </x:c>
      <x:c r="AB235" s="142" t="n">
        <x:v>7749.096050889898</x:v>
      </x:c>
    </x:row>
    <x:row r="236">
      <x:c r="V236" s="141" t="n">
        <x:v>45526</x:v>
      </x:c>
      <x:c r="W236" s="142" t="n">
        <x:v>61156.03</x:v>
      </x:c>
      <x:c r="X236" s="142" t="n">
        <x:v>61400</x:v>
      </x:c>
      <x:c r="Y236" s="142" t="n">
        <x:v>59724.87</x:v>
      </x:c>
      <x:c r="Z236" s="142" t="n">
        <x:v>60375.84</x:v>
      </x:c>
      <x:c r="AA236" s="142" t="n">
        <x:v>8318.067461968425</x:v>
      </x:c>
      <x:c r="AB236" s="142" t="n">
        <x:v>7749.096050889898</x:v>
      </x:c>
    </x:row>
    <x:row r="237">
      <x:c r="V237" s="141" t="n">
        <x:v>45527</x:v>
      </x:c>
      <x:c r="W237" s="142" t="n">
        <x:v>60375.83</x:v>
      </x:c>
      <x:c r="X237" s="142" t="n">
        <x:v>64955</x:v>
      </x:c>
      <x:c r="Y237" s="142" t="n">
        <x:v>60342.14</x:v>
      </x:c>
      <x:c r="Z237" s="142" t="n">
        <x:v>64037.24</x:v>
      </x:c>
      <x:c r="AA237" s="142" t="n">
        <x:v>8318.067461968425</x:v>
      </x:c>
      <x:c r="AB237" s="142" t="n">
        <x:v>7749.096050889898</x:v>
      </x:c>
    </x:row>
    <x:row r="238">
      <x:c r="V238" s="141" t="n">
        <x:v>45528</x:v>
      </x:c>
      <x:c r="W238" s="142" t="n">
        <x:v>64037.24</x:v>
      </x:c>
      <x:c r="X238" s="142" t="n">
        <x:v>64494.5</x:v>
      </x:c>
      <x:c r="Y238" s="142" t="n">
        <x:v>63531</x:v>
      </x:c>
      <x:c r="Z238" s="142" t="n">
        <x:v>64157.01</x:v>
      </x:c>
      <x:c r="AA238" s="142" t="n">
        <x:v>8318.067461968425</x:v>
      </x:c>
      <x:c r="AB238" s="142" t="n">
        <x:v>7749.096050889898</x:v>
      </x:c>
    </x:row>
    <x:row r="239">
      <x:c r="V239" s="141" t="n">
        <x:v>45529</x:v>
      </x:c>
      <x:c r="W239" s="142" t="n">
        <x:v>64157.02</x:v>
      </x:c>
      <x:c r="X239" s="142" t="n">
        <x:v>65000</x:v>
      </x:c>
      <x:c r="Y239" s="142" t="n">
        <x:v>63773.27</x:v>
      </x:c>
      <x:c r="Z239" s="142" t="n">
        <x:v>64220</x:v>
      </x:c>
      <x:c r="AA239" s="142" t="n">
        <x:v>8318.067461968425</x:v>
      </x:c>
      <x:c r="AB239" s="142" t="n">
        <x:v>7749.096050889898</x:v>
      </x:c>
    </x:row>
    <x:row r="240">
      <x:c r="V240" s="141" t="n">
        <x:v>45530</x:v>
      </x:c>
      <x:c r="W240" s="142" t="n">
        <x:v>64219.99</x:v>
      </x:c>
      <x:c r="X240" s="142" t="n">
        <x:v>64481</x:v>
      </x:c>
      <x:c r="Y240" s="142" t="n">
        <x:v>62800</x:v>
      </x:c>
      <x:c r="Z240" s="142" t="n">
        <x:v>62834</x:v>
      </x:c>
      <x:c r="AA240" s="142" t="n">
        <x:v>8318.067461968425</x:v>
      </x:c>
      <x:c r="AB240" s="142" t="n">
        <x:v>7749.096050889898</x:v>
      </x:c>
    </x:row>
    <x:row r="241">
      <x:c r="V241" s="141" t="n">
        <x:v>45531</x:v>
      </x:c>
      <x:c r="W241" s="142" t="n">
        <x:v>62834</x:v>
      </x:c>
      <x:c r="X241" s="142" t="n">
        <x:v>63212</x:v>
      </x:c>
      <x:c r="Y241" s="142" t="n">
        <x:v>58034.01</x:v>
      </x:c>
      <x:c r="Z241" s="142" t="n">
        <x:v>59415</x:v>
      </x:c>
      <x:c r="AA241" s="142" t="n">
        <x:v>8318.067461968425</x:v>
      </x:c>
      <x:c r="AB241" s="142" t="n">
        <x:v>7749.096050889898</x:v>
      </x:c>
    </x:row>
    <x:row r="242">
      <x:c r="V242" s="141" t="n">
        <x:v>45532</x:v>
      </x:c>
      <x:c r="W242" s="142" t="n">
        <x:v>59415</x:v>
      </x:c>
      <x:c r="X242" s="142" t="n">
        <x:v>60234.98</x:v>
      </x:c>
      <x:c r="Y242" s="142" t="n">
        <x:v>57860</x:v>
      </x:c>
      <x:c r="Z242" s="142" t="n">
        <x:v>59034.9</x:v>
      </x:c>
      <x:c r="AA242" s="142" t="n">
        <x:v>8318.067461968425</x:v>
      </x:c>
      <x:c r="AB242" s="142" t="n">
        <x:v>7749.096050889898</x:v>
      </x:c>
    </x:row>
    <x:row r="243">
      <x:c r="V243" s="141" t="n">
        <x:v>45533</x:v>
      </x:c>
      <x:c r="W243" s="142" t="n">
        <x:v>59034.9</x:v>
      </x:c>
      <x:c r="X243" s="142" t="n">
        <x:v>61166.99</x:v>
      </x:c>
      <x:c r="Y243" s="142" t="n">
        <x:v>58713.09</x:v>
      </x:c>
      <x:c r="Z243" s="142" t="n">
        <x:v>59359.01</x:v>
      </x:c>
      <x:c r="AA243" s="142" t="n">
        <x:v>8318.067461968425</x:v>
      </x:c>
      <x:c r="AB243" s="142" t="n">
        <x:v>7749.096050889898</x:v>
      </x:c>
    </x:row>
    <x:row r="244">
      <x:c r="V244" s="141" t="n">
        <x:v>45534</x:v>
      </x:c>
      <x:c r="W244" s="142" t="n">
        <x:v>59359</x:v>
      </x:c>
      <x:c r="X244" s="142" t="n">
        <x:v>59944.07</x:v>
      </x:c>
      <x:c r="Y244" s="142" t="n">
        <x:v>57701.1</x:v>
      </x:c>
      <x:c r="Z244" s="142" t="n">
        <x:v>59123.99</x:v>
      </x:c>
      <x:c r="AA244" s="142" t="n">
        <x:v>8318.067461968425</x:v>
      </x:c>
      <x:c r="AB244" s="142" t="n">
        <x:v>7749.096050889898</x:v>
      </x:c>
    </x:row>
    <x:row r="245">
      <x:c r="V245" s="141" t="n">
        <x:v>45535</x:v>
      </x:c>
      <x:c r="W245" s="142" t="n">
        <x:v>59123.99</x:v>
      </x:c>
      <x:c r="X245" s="142" t="n">
        <x:v>59462.38</x:v>
      </x:c>
      <x:c r="Y245" s="142" t="n">
        <x:v>58744</x:v>
      </x:c>
      <x:c r="Z245" s="142" t="n">
        <x:v>58973.99</x:v>
      </x:c>
      <x:c r="AA245" s="142" t="n">
        <x:v>8318.067461968425</x:v>
      </x:c>
      <x:c r="AB245" s="142" t="n">
        <x:v>7749.096050889898</x:v>
      </x:c>
    </x:row>
    <x:row r="246">
      <x:c r="V246" s="141" t="n">
        <x:v>45536</x:v>
      </x:c>
      <x:c r="W246" s="142" t="n">
        <x:v>58974</x:v>
      </x:c>
      <x:c r="X246" s="142" t="n">
        <x:v>59076.59</x:v>
      </x:c>
      <x:c r="Y246" s="142" t="n">
        <x:v>57201</x:v>
      </x:c>
      <x:c r="Z246" s="142" t="n">
        <x:v>57301.86</x:v>
      </x:c>
      <x:c r="AA246" s="142" t="n">
        <x:v>8318.067461968425</x:v>
      </x:c>
      <x:c r="AB246" s="142" t="n">
        <x:v>7749.096050889898</x:v>
      </x:c>
    </x:row>
    <x:row r="247">
      <x:c r="V247" s="141" t="n">
        <x:v>45537</x:v>
      </x:c>
      <x:c r="W247" s="142" t="n">
        <x:v>57301.77</x:v>
      </x:c>
      <x:c r="X247" s="142" t="n">
        <x:v>59425.69</x:v>
      </x:c>
      <x:c r="Y247" s="142" t="n">
        <x:v>57128</x:v>
      </x:c>
      <x:c r="Z247" s="142" t="n">
        <x:v>59132.13</x:v>
      </x:c>
      <x:c r="AA247" s="142" t="n">
        <x:v>8318.067461968425</x:v>
      </x:c>
      <x:c r="AB247" s="142" t="n">
        <x:v>7749.096050889898</x:v>
      </x:c>
    </x:row>
    <x:row r="248">
      <x:c r="V248" s="141" t="n">
        <x:v>45538</x:v>
      </x:c>
      <x:c r="W248" s="142" t="n">
        <x:v>59132.12</x:v>
      </x:c>
      <x:c r="X248" s="142" t="n">
        <x:v>59809.65</x:v>
      </x:c>
      <x:c r="Y248" s="142" t="n">
        <x:v>57415</x:v>
      </x:c>
      <x:c r="Z248" s="142" t="n">
        <x:v>57487.73</x:v>
      </x:c>
      <x:c r="AA248" s="142" t="n">
        <x:v>8318.067461968425</x:v>
      </x:c>
      <x:c r="AB248" s="142" t="n">
        <x:v>7749.096050889898</x:v>
      </x:c>
    </x:row>
    <x:row r="249">
      <x:c r="V249" s="141" t="n">
        <x:v>45539</x:v>
      </x:c>
      <x:c r="W249" s="142" t="n">
        <x:v>57487.74</x:v>
      </x:c>
      <x:c r="X249" s="142" t="n">
        <x:v>58519</x:v>
      </x:c>
      <x:c r="Y249" s="142" t="n">
        <x:v>55606</x:v>
      </x:c>
      <x:c r="Z249" s="142" t="n">
        <x:v>57970.9</x:v>
      </x:c>
      <x:c r="AA249" s="142" t="n">
        <x:v>8318.067461968425</x:v>
      </x:c>
      <x:c r="AB249" s="142" t="n">
        <x:v>7749.096050889898</x:v>
      </x:c>
    </x:row>
    <x:row r="250">
      <x:c r="V250" s="141" t="n">
        <x:v>45540</x:v>
      </x:c>
      <x:c r="W250" s="142" t="n">
        <x:v>57970.9</x:v>
      </x:c>
      <x:c r="X250" s="142" t="n">
        <x:v>58327.07</x:v>
      </x:c>
      <x:c r="Y250" s="142" t="n">
        <x:v>55643.65</x:v>
      </x:c>
      <x:c r="Z250" s="142" t="n">
        <x:v>56180</x:v>
      </x:c>
      <x:c r="AA250" s="142" t="n">
        <x:v>8318.067461968425</x:v>
      </x:c>
      <x:c r="AB250" s="142" t="n">
        <x:v>7749.096050889898</x:v>
      </x:c>
    </x:row>
    <x:row r="251">
      <x:c r="V251" s="141" t="n">
        <x:v>45541</x:v>
      </x:c>
      <x:c r="W251" s="142" t="n">
        <x:v>56180</x:v>
      </x:c>
      <x:c r="X251" s="142" t="n">
        <x:v>57008</x:v>
      </x:c>
      <x:c r="Y251" s="142" t="n">
        <x:v>52550</x:v>
      </x:c>
      <x:c r="Z251" s="142" t="n">
        <x:v>53962.97</x:v>
      </x:c>
      <x:c r="AA251" s="142" t="n">
        <x:v>8318.067461968425</x:v>
      </x:c>
      <x:c r="AB251" s="142" t="n">
        <x:v>7749.096050889898</x:v>
      </x:c>
    </x:row>
    <x:row r="252">
      <x:c r="V252" s="141" t="n">
        <x:v>45542</x:v>
      </x:c>
      <x:c r="W252" s="142" t="n">
        <x:v>53962.97</x:v>
      </x:c>
      <x:c r="X252" s="142" t="n">
        <x:v>54850</x:v>
      </x:c>
      <x:c r="Y252" s="142" t="n">
        <x:v>53745.54</x:v>
      </x:c>
      <x:c r="Z252" s="142" t="n">
        <x:v>54160.86</x:v>
      </x:c>
      <x:c r="AA252" s="142" t="n">
        <x:v>8318.067461968425</x:v>
      </x:c>
      <x:c r="AB252" s="142" t="n">
        <x:v>7749.096050889898</x:v>
      </x:c>
    </x:row>
    <x:row r="253">
      <x:c r="V253" s="141" t="n">
        <x:v>45543</x:v>
      </x:c>
      <x:c r="W253" s="142" t="n">
        <x:v>54160.86</x:v>
      </x:c>
      <x:c r="X253" s="142" t="n">
        <x:v>55318</x:v>
      </x:c>
      <x:c r="Y253" s="142" t="n">
        <x:v>53629.01</x:v>
      </x:c>
      <x:c r="Z253" s="142" t="n">
        <x:v>54869.95</x:v>
      </x:c>
      <x:c r="AA253" s="142" t="n">
        <x:v>8318.067461968425</x:v>
      </x:c>
      <x:c r="AB253" s="142" t="n">
        <x:v>7749.096050889898</x:v>
      </x:c>
    </x:row>
    <x:row r="254">
      <x:c r="V254" s="141" t="n">
        <x:v>45544</x:v>
      </x:c>
      <x:c r="W254" s="142" t="n">
        <x:v>54869.95</x:v>
      </x:c>
      <x:c r="X254" s="142" t="n">
        <x:v>58088</x:v>
      </x:c>
      <x:c r="Y254" s="142" t="n">
        <x:v>54591.96</x:v>
      </x:c>
      <x:c r="Z254" s="142" t="n">
        <x:v>57042</x:v>
      </x:c>
      <x:c r="AA254" s="142" t="n">
        <x:v>8318.067461968425</x:v>
      </x:c>
      <x:c r="AB254" s="142" t="n">
        <x:v>7749.096050889898</x:v>
      </x:c>
    </x:row>
    <x:row r="255">
      <x:c r="V255" s="141" t="n">
        <x:v>45545</x:v>
      </x:c>
      <x:c r="W255" s="142" t="n">
        <x:v>57042.01</x:v>
      </x:c>
      <x:c r="X255" s="142" t="n">
        <x:v>58044.36</x:v>
      </x:c>
      <x:c r="Y255" s="142" t="n">
        <x:v>56386.4</x:v>
      </x:c>
      <x:c r="Z255" s="142" t="n">
        <x:v>57635.99</x:v>
      </x:c>
      <x:c r="AA255" s="142" t="n">
        <x:v>8318.067461968425</x:v>
      </x:c>
      <x:c r="AB255" s="142" t="n">
        <x:v>7749.096050889898</x:v>
      </x:c>
    </x:row>
    <x:row r="256">
      <x:c r="V256" s="141" t="n">
        <x:v>45546</x:v>
      </x:c>
      <x:c r="W256" s="142" t="n">
        <x:v>57635.99</x:v>
      </x:c>
      <x:c r="X256" s="142" t="n">
        <x:v>57981.71</x:v>
      </x:c>
      <x:c r="Y256" s="142" t="n">
        <x:v>55545.19</x:v>
      </x:c>
      <x:c r="Z256" s="142" t="n">
        <x:v>57338</x:v>
      </x:c>
      <x:c r="AA256" s="142" t="n">
        <x:v>8318.067461968425</x:v>
      </x:c>
      <x:c r="AB256" s="142" t="n">
        <x:v>7749.096050889898</x:v>
      </x:c>
    </x:row>
    <x:row r="257">
      <x:c r="V257" s="141" t="n">
        <x:v>45547</x:v>
      </x:c>
      <x:c r="W257" s="142" t="n">
        <x:v>57338</x:v>
      </x:c>
      <x:c r="X257" s="142" t="n">
        <x:v>58588</x:v>
      </x:c>
      <x:c r="Y257" s="142" t="n">
        <x:v>57324</x:v>
      </x:c>
      <x:c r="Z257" s="142" t="n">
        <x:v>58132.32</x:v>
      </x:c>
      <x:c r="AA257" s="142" t="n">
        <x:v>8318.067461968425</x:v>
      </x:c>
      <x:c r="AB257" s="142" t="n">
        <x:v>7749.096050889898</x:v>
      </x:c>
    </x:row>
    <x:row r="258">
      <x:c r="V258" s="141" t="n">
        <x:v>45548</x:v>
      </x:c>
      <x:c r="W258" s="142" t="n">
        <x:v>58132.31</x:v>
      </x:c>
      <x:c r="X258" s="142" t="n">
        <x:v>60625</x:v>
      </x:c>
      <x:c r="Y258" s="142" t="n">
        <x:v>57632.62</x:v>
      </x:c>
      <x:c r="Z258" s="142" t="n">
        <x:v>60498</x:v>
      </x:c>
      <x:c r="AA258" s="142" t="n">
        <x:v>8318.067461968425</x:v>
      </x:c>
      <x:c r="AB258" s="142" t="n">
        <x:v>7749.096050889898</x:v>
      </x:c>
    </x:row>
    <x:row r="259">
      <x:c r="V259" s="141" t="n">
        <x:v>45549</x:v>
      </x:c>
      <x:c r="W259" s="142" t="n">
        <x:v>60497.99</x:v>
      </x:c>
      <x:c r="X259" s="142" t="n">
        <x:v>60610.45</x:v>
      </x:c>
      <x:c r="Y259" s="142" t="n">
        <x:v>59400</x:v>
      </x:c>
      <x:c r="Z259" s="142" t="n">
        <x:v>59993.03</x:v>
      </x:c>
      <x:c r="AA259" s="142" t="n">
        <x:v>8318.067461968425</x:v>
      </x:c>
      <x:c r="AB259" s="142" t="n">
        <x:v>7749.096050889898</x:v>
      </x:c>
    </x:row>
    <x:row r="260">
      <x:c r="V260" s="141" t="n">
        <x:v>45550</x:v>
      </x:c>
      <x:c r="W260" s="142" t="n">
        <x:v>59993.02</x:v>
      </x:c>
      <x:c r="X260" s="142" t="n">
        <x:v>60395.8</x:v>
      </x:c>
      <x:c r="Y260" s="142" t="n">
        <x:v>58691.05</x:v>
      </x:c>
      <x:c r="Z260" s="142" t="n">
        <x:v>59132</x:v>
      </x:c>
      <x:c r="AA260" s="142" t="n">
        <x:v>8318.067461968425</x:v>
      </x:c>
      <x:c r="AB260" s="142" t="n">
        <x:v>7749.096050889898</x:v>
      </x:c>
    </x:row>
    <x:row r="261">
      <x:c r="V261" s="141" t="n">
        <x:v>45551</x:v>
      </x:c>
      <x:c r="W261" s="142" t="n">
        <x:v>59132</x:v>
      </x:c>
      <x:c r="X261" s="142" t="n">
        <x:v>59210.7</x:v>
      </x:c>
      <x:c r="Y261" s="142" t="n">
        <x:v>57493.3</x:v>
      </x:c>
      <x:c r="Z261" s="142" t="n">
        <x:v>58213.99</x:v>
      </x:c>
      <x:c r="AA261" s="142" t="n">
        <x:v>8318.067461968425</x:v>
      </x:c>
      <x:c r="AB261" s="142" t="n">
        <x:v>7749.096050889898</x:v>
      </x:c>
    </x:row>
    <x:row r="262">
      <x:c r="V262" s="141" t="n">
        <x:v>45552</x:v>
      </x:c>
      <x:c r="W262" s="142" t="n">
        <x:v>58213.99</x:v>
      </x:c>
      <x:c r="X262" s="142" t="n">
        <x:v>61320</x:v>
      </x:c>
      <x:c r="Y262" s="142" t="n">
        <x:v>57610.01</x:v>
      </x:c>
      <x:c r="Z262" s="142" t="n">
        <x:v>60313.99</x:v>
      </x:c>
      <x:c r="AA262" s="142" t="n">
        <x:v>8318.067461968425</x:v>
      </x:c>
      <x:c r="AB262" s="142" t="n">
        <x:v>7749.096050889898</x:v>
      </x:c>
    </x:row>
    <x:row r="263">
      <x:c r="V263" s="141" t="n">
        <x:v>45553</x:v>
      </x:c>
      <x:c r="W263" s="142" t="n">
        <x:v>60313.99</x:v>
      </x:c>
      <x:c r="X263" s="142" t="n">
        <x:v>61786.24</x:v>
      </x:c>
      <x:c r="Y263" s="142" t="n">
        <x:v>59174.8</x:v>
      </x:c>
      <x:c r="Z263" s="142" t="n">
        <x:v>61759.99</x:v>
      </x:c>
      <x:c r="AA263" s="142" t="n">
        <x:v>8318.067461968425</x:v>
      </x:c>
      <x:c r="AB263" s="142" t="n">
        <x:v>7749.096050889898</x:v>
      </x:c>
    </x:row>
    <x:row r="264">
      <x:c r="V264" s="141" t="n">
        <x:v>45554</x:v>
      </x:c>
      <x:c r="W264" s="142" t="n">
        <x:v>61759.98</x:v>
      </x:c>
      <x:c r="X264" s="142" t="n">
        <x:v>63850</x:v>
      </x:c>
      <x:c r="Y264" s="142" t="n">
        <x:v>61555</x:v>
      </x:c>
      <x:c r="Z264" s="142" t="n">
        <x:v>62947.99</x:v>
      </x:c>
      <x:c r="AA264" s="142" t="n">
        <x:v>8318.067461968425</x:v>
      </x:c>
      <x:c r="AB264" s="142" t="n">
        <x:v>7749.096050889898</x:v>
      </x:c>
    </x:row>
    <x:row r="265">
      <x:c r="V265" s="141" t="n">
        <x:v>45555</x:v>
      </x:c>
      <x:c r="W265" s="142" t="n">
        <x:v>62948</x:v>
      </x:c>
      <x:c r="X265" s="142" t="n">
        <x:v>64133.32</x:v>
      </x:c>
      <x:c r="Y265" s="142" t="n">
        <x:v>62350</x:v>
      </x:c>
      <x:c r="Z265" s="142" t="n">
        <x:v>63201.05</x:v>
      </x:c>
      <x:c r="AA265" s="142" t="n">
        <x:v>8318.067461968425</x:v>
      </x:c>
      <x:c r="AB265" s="142" t="n">
        <x:v>7749.096050889898</x:v>
      </x:c>
    </x:row>
    <x:row r="266">
      <x:c r="V266" s="141" t="n">
        <x:v>45556</x:v>
      </x:c>
      <x:c r="W266" s="142" t="n">
        <x:v>63201.05</x:v>
      </x:c>
      <x:c r="X266" s="142" t="n">
        <x:v>63559.9</x:v>
      </x:c>
      <x:c r="Y266" s="142" t="n">
        <x:v>62758</x:v>
      </x:c>
      <x:c r="Z266" s="142" t="n">
        <x:v>63348.96</x:v>
      </x:c>
      <x:c r="AA266" s="142" t="n">
        <x:v>8318.067461968425</x:v>
      </x:c>
      <x:c r="AB266" s="142" t="n">
        <x:v>7749.096050889898</x:v>
      </x:c>
    </x:row>
    <x:row r="267">
      <x:c r="V267" s="141" t="n">
        <x:v>45557</x:v>
      </x:c>
      <x:c r="W267" s="142" t="n">
        <x:v>63348.97</x:v>
      </x:c>
      <x:c r="X267" s="142" t="n">
        <x:v>64000</x:v>
      </x:c>
      <x:c r="Y267" s="142" t="n">
        <x:v>62357.93</x:v>
      </x:c>
      <x:c r="Z267" s="142" t="n">
        <x:v>63578.76</x:v>
      </x:c>
      <x:c r="AA267" s="142" t="n">
        <x:v>8318.067461968425</x:v>
      </x:c>
      <x:c r="AB267" s="142" t="n">
        <x:v>7749.096050889898</x:v>
      </x:c>
    </x:row>
    <x:row r="268">
      <x:c r="V268" s="141" t="n">
        <x:v>45558</x:v>
      </x:c>
      <x:c r="W268" s="142" t="n">
        <x:v>63578.76</x:v>
      </x:c>
      <x:c r="X268" s="142" t="n">
        <x:v>64745.88</x:v>
      </x:c>
      <x:c r="Y268" s="142" t="n">
        <x:v>62538.75</x:v>
      </x:c>
      <x:c r="Z268" s="142" t="n">
        <x:v>63339.99</x:v>
      </x:c>
      <x:c r="AA268" s="142" t="n">
        <x:v>8318.067461968425</x:v>
      </x:c>
      <x:c r="AB268" s="142" t="n">
        <x:v>7749.096050889898</x:v>
      </x:c>
    </x:row>
    <x:row r="269">
      <x:c r="V269" s="141" t="n">
        <x:v>45559</x:v>
      </x:c>
      <x:c r="W269" s="142" t="n">
        <x:v>63339.99</x:v>
      </x:c>
      <x:c r="X269" s="142" t="n">
        <x:v>64688</x:v>
      </x:c>
      <x:c r="Y269" s="142" t="n">
        <x:v>62700</x:v>
      </x:c>
      <x:c r="Z269" s="142" t="n">
        <x:v>64262.7</x:v>
      </x:c>
      <x:c r="AA269" s="142" t="n">
        <x:v>8318.067461968425</x:v>
      </x:c>
      <x:c r="AB269" s="142" t="n">
        <x:v>7749.096050889898</x:v>
      </x:c>
    </x:row>
    <x:row r="270">
      <x:c r="V270" s="141" t="n">
        <x:v>45560</x:v>
      </x:c>
      <x:c r="W270" s="142" t="n">
        <x:v>64262.7</x:v>
      </x:c>
      <x:c r="X270" s="142" t="n">
        <x:v>64817.99</x:v>
      </x:c>
      <x:c r="Y270" s="142" t="n">
        <x:v>62947.08</x:v>
      </x:c>
      <x:c r="Z270" s="142" t="n">
        <x:v>63152.01</x:v>
      </x:c>
      <x:c r="AA270" s="142" t="n">
        <x:v>8318.067461968425</x:v>
      </x:c>
      <x:c r="AB270" s="142" t="n">
        <x:v>7749.096050889898</x:v>
      </x:c>
    </x:row>
    <x:row r="271">
      <x:c r="V271" s="141" t="n">
        <x:v>45561</x:v>
      </x:c>
      <x:c r="W271" s="142" t="n">
        <x:v>63152.01</x:v>
      </x:c>
      <x:c r="X271" s="142" t="n">
        <x:v>65839</x:v>
      </x:c>
      <x:c r="Y271" s="142" t="n">
        <x:v>62670</x:v>
      </x:c>
      <x:c r="Z271" s="142" t="n">
        <x:v>65173.99</x:v>
      </x:c>
      <x:c r="AA271" s="142" t="n">
        <x:v>8318.067461968425</x:v>
      </x:c>
      <x:c r="AB271" s="142" t="n">
        <x:v>7749.096050889898</x:v>
      </x:c>
    </x:row>
    <x:row r="272">
      <x:c r="V272" s="141" t="n">
        <x:v>45562</x:v>
      </x:c>
      <x:c r="W272" s="142" t="n">
        <x:v>65173.99</x:v>
      </x:c>
      <x:c r="X272" s="142" t="n">
        <x:v>66498</x:v>
      </x:c>
      <x:c r="Y272" s="142" t="n">
        <x:v>64819.9</x:v>
      </x:c>
      <x:c r="Z272" s="142" t="n">
        <x:v>65769.95</x:v>
      </x:c>
      <x:c r="AA272" s="142" t="n">
        <x:v>8318.067461968425</x:v>
      </x:c>
      <x:c r="AB272" s="142" t="n">
        <x:v>7749.096050889898</x:v>
      </x:c>
    </x:row>
    <x:row r="273">
      <x:c r="V273" s="141" t="n">
        <x:v>45563</x:v>
      </x:c>
      <x:c r="W273" s="142" t="n">
        <x:v>65769.95</x:v>
      </x:c>
      <x:c r="X273" s="142" t="n">
        <x:v>66260</x:v>
      </x:c>
      <x:c r="Y273" s="142" t="n">
        <x:v>65422.23</x:v>
      </x:c>
      <x:c r="Z273" s="142" t="n">
        <x:v>65858</x:v>
      </x:c>
      <x:c r="AA273" s="142" t="n">
        <x:v>8318.067461968425</x:v>
      </x:c>
      <x:c r="AB273" s="142" t="n">
        <x:v>7749.096050889898</x:v>
      </x:c>
    </x:row>
    <x:row r="274">
      <x:c r="V274" s="141" t="n">
        <x:v>45564</x:v>
      </x:c>
      <x:c r="W274" s="142" t="n">
        <x:v>65858</x:v>
      </x:c>
      <x:c r="X274" s="142" t="n">
        <x:v>66076.12</x:v>
      </x:c>
      <x:c r="Y274" s="142" t="n">
        <x:v>65432</x:v>
      </x:c>
      <x:c r="Z274" s="142" t="n">
        <x:v>65602.01</x:v>
      </x:c>
      <x:c r="AA274" s="142" t="n">
        <x:v>8318.067461968425</x:v>
      </x:c>
      <x:c r="AB274" s="142" t="n">
        <x:v>7749.096050889898</x:v>
      </x:c>
    </x:row>
    <x:row r="275">
      <x:c r="V275" s="141" t="n">
        <x:v>45565</x:v>
      </x:c>
      <x:c r="W275" s="142" t="n">
        <x:v>65602.01</x:v>
      </x:c>
      <x:c r="X275" s="142" t="n">
        <x:v>65618.8</x:v>
      </x:c>
      <x:c r="Y275" s="142" t="n">
        <x:v>62856.3</x:v>
      </x:c>
      <x:c r="Z275" s="142" t="n">
        <x:v>63327.59</x:v>
      </x:c>
      <x:c r="AA275" s="142" t="n">
        <x:v>8318.067461968425</x:v>
      </x:c>
      <x:c r="AB275" s="142" t="n">
        <x:v>7749.096050889898</x:v>
      </x:c>
    </x:row>
    <x:row r="276">
      <x:c r="V276" s="141" t="n">
        <x:v>45566</x:v>
      </x:c>
      <x:c r="W276" s="142" t="n">
        <x:v>63327.6</x:v>
      </x:c>
      <x:c r="X276" s="142" t="n">
        <x:v>64130.63</x:v>
      </x:c>
      <x:c r="Y276" s="142" t="n">
        <x:v>60164</x:v>
      </x:c>
      <x:c r="Z276" s="142" t="n">
        <x:v>60805.78</x:v>
      </x:c>
      <x:c r="AA276" s="142" t="n">
        <x:v>8318.067461968425</x:v>
      </x:c>
      <x:c r="AB276" s="142" t="n">
        <x:v>7749.096050889898</x:v>
      </x:c>
    </x:row>
    <x:row r="277">
      <x:c r="V277" s="141" t="n">
        <x:v>45567</x:v>
      </x:c>
      <x:c r="W277" s="142" t="n">
        <x:v>60804.92</x:v>
      </x:c>
      <x:c r="X277" s="142" t="n">
        <x:v>62390.31</x:v>
      </x:c>
      <x:c r="Y277" s="142" t="n">
        <x:v>60000</x:v>
      </x:c>
      <x:c r="Z277" s="142" t="n">
        <x:v>60649.28</x:v>
      </x:c>
      <x:c r="AA277" s="142" t="n">
        <x:v>8318.067461968425</x:v>
      </x:c>
      <x:c r="AB277" s="142" t="n">
        <x:v>7749.096050889898</x:v>
      </x:c>
    </x:row>
    <x:row r="278">
      <x:c r="V278" s="141" t="n">
        <x:v>45568</x:v>
      </x:c>
      <x:c r="W278" s="142" t="n">
        <x:v>60649.27</x:v>
      </x:c>
      <x:c r="X278" s="142" t="n">
        <x:v>61477.19</x:v>
      </x:c>
      <x:c r="Y278" s="142" t="n">
        <x:v>59828.11</x:v>
      </x:c>
      <x:c r="Z278" s="142" t="n">
        <x:v>60752.71</x:v>
      </x:c>
      <x:c r="AA278" s="142" t="n">
        <x:v>8318.067461968425</x:v>
      </x:c>
      <x:c r="AB278" s="142" t="n">
        <x:v>7749.096050889898</x:v>
      </x:c>
    </x:row>
    <x:row r="279">
      <x:c r="V279" s="141" t="n">
        <x:v>45569</x:v>
      </x:c>
      <x:c r="W279" s="142" t="n">
        <x:v>60752.72</x:v>
      </x:c>
      <x:c r="X279" s="142" t="n">
        <x:v>62484.85</x:v>
      </x:c>
      <x:c r="Y279" s="142" t="n">
        <x:v>60459.9</x:v>
      </x:c>
      <x:c r="Z279" s="142" t="n">
        <x:v>62086</x:v>
      </x:c>
      <x:c r="AA279" s="142" t="n">
        <x:v>8318.067461968425</x:v>
      </x:c>
      <x:c r="AB279" s="142" t="n">
        <x:v>7749.096050889898</x:v>
      </x:c>
    </x:row>
    <x:row r="280">
      <x:c r="V280" s="141" t="n">
        <x:v>45570</x:v>
      </x:c>
      <x:c r="W280" s="142" t="n">
        <x:v>62086</x:v>
      </x:c>
      <x:c r="X280" s="142" t="n">
        <x:v>62370.56</x:v>
      </x:c>
      <x:c r="Y280" s="142" t="n">
        <x:v>61689.26</x:v>
      </x:c>
      <x:c r="Z280" s="142" t="n">
        <x:v>62058</x:v>
      </x:c>
      <x:c r="AA280" s="142" t="n">
        <x:v>8303.557588567013</x:v>
      </x:c>
      <x:c r="AB280" s="142" t="n">
        <x:v>7734.586177488487</x:v>
      </x:c>
    </x:row>
    <x:row r="281">
      <x:c r="V281" s="141" t="n">
        <x:v>45571</x:v>
      </x:c>
      <x:c r="W281" s="142" t="n">
        <x:v>62058.01</x:v>
      </x:c>
      <x:c r="X281" s="142" t="n">
        <x:v>62975</x:v>
      </x:c>
      <x:c r="Y281" s="142" t="n">
        <x:v>61798.97</x:v>
      </x:c>
      <x:c r="Z281" s="142" t="n">
        <x:v>62819.91</x:v>
      </x:c>
      <x:c r="AA281" s="142" t="n">
        <x:v>8426.276075826623</x:v>
      </x:c>
      <x:c r="AB281" s="142" t="n">
        <x:v>7857.304664748095</x:v>
      </x:c>
    </x:row>
    <x:row r="282">
      <x:c r="V282" s="141" t="n">
        <x:v>45572</x:v>
      </x:c>
      <x:c r="W282" s="142" t="n">
        <x:v>62819.91</x:v>
      </x:c>
      <x:c r="X282" s="142" t="n">
        <x:v>64478.19</x:v>
      </x:c>
      <x:c r="Y282" s="142" t="n">
        <x:v>62128</x:v>
      </x:c>
      <x:c r="Z282" s="142" t="n">
        <x:v>62224</x:v>
      </x:c>
      <x:c r="AA282" s="142" t="n">
        <x:v>8330.294695161094</x:v>
      </x:c>
      <x:c r="AB282" s="142" t="n">
        <x:v>7761.323284082566</x:v>
      </x:c>
    </x:row>
    <x:row r="283">
      <x:c r="V283" s="141" t="n">
        <x:v>45573</x:v>
      </x:c>
      <x:c r="W283" s="142" t="n">
        <x:v>62224.01</x:v>
      </x:c>
      <x:c r="X283" s="142" t="n">
        <x:v>63200</x:v>
      </x:c>
      <x:c r="Y283" s="142" t="n">
        <x:v>61860.31</x:v>
      </x:c>
      <x:c r="Z283" s="142" t="n">
        <x:v>62160.49</x:v>
      </x:c>
      <x:c r="AA283" s="142" t="n">
        <x:v>8320.06533588525</x:v>
      </x:c>
      <x:c r="AB283" s="142" t="n">
        <x:v>7751.0939248067225</x:v>
      </x:c>
    </x:row>
    <x:row r="284">
      <x:c r="V284" s="141" t="n">
        <x:v>45574</x:v>
      </x:c>
      <x:c r="W284" s="142" t="n">
        <x:v>62160.5</x:v>
      </x:c>
      <x:c r="X284" s="142" t="n">
        <x:v>62543.75</x:v>
      </x:c>
      <x:c r="Y284" s="142" t="n">
        <x:v>60301</x:v>
      </x:c>
      <x:c r="Z284" s="142" t="n">
        <x:v>60636.02</x:v>
      </x:c>
      <x:c r="AA284" s="142" t="n">
        <x:v>8074.523667876359</x:v>
      </x:c>
      <x:c r="AB284" s="142" t="n">
        <x:v>7505.552256797831</x:v>
      </x:c>
    </x:row>
    <x:row r="285">
      <x:c r="V285" s="141" t="n">
        <x:v>45575</x:v>
      </x:c>
      <x:c r="W285" s="142" t="n">
        <x:v>60636.01</x:v>
      </x:c>
      <x:c r="X285" s="142" t="n">
        <x:v>61321.68</x:v>
      </x:c>
      <x:c r="Y285" s="142" t="n">
        <x:v>58946</x:v>
      </x:c>
      <x:c r="Z285" s="142" t="n">
        <x:v>60326.39</x:v>
      </x:c>
      <x:c r="AA285" s="142" t="n">
        <x:v>8064.755602612049</x:v>
      </x:c>
      <x:c r="AB285" s="142" t="n">
        <x:v>7455.681110323587</x:v>
      </x:c>
    </x:row>
    <x:row r="286">
      <x:c r="V286" s="141" t="n">
        <x:v>45576</x:v>
      </x:c>
      <x:c r="W286" s="142" t="n">
        <x:v>60326.4</x:v>
      </x:c>
      <x:c r="X286" s="142" t="n">
        <x:v>63417.56</x:v>
      </x:c>
      <x:c r="Y286" s="142" t="n">
        <x:v>60087.64</x:v>
      </x:c>
      <x:c r="Z286" s="142" t="n">
        <x:v>62540</x:v>
      </x:c>
      <x:c r="AA286" s="142" t="n">
        <x:v>8064.755602612049</x:v>
      </x:c>
      <x:c r="AB286" s="142" t="n">
        <x:v>7812.220426755633</x:v>
      </x:c>
    </x:row>
    <x:row r="287">
      <x:c r="V287" s="141" t="n">
        <x:v>45577</x:v>
      </x:c>
      <x:c r="W287" s="142" t="n">
        <x:v>62539.99</x:v>
      </x:c>
      <x:c r="X287" s="142" t="n">
        <x:v>63480</x:v>
      </x:c>
      <x:c r="Y287" s="142" t="n">
        <x:v>62487.23</x:v>
      </x:c>
      <x:c r="Z287" s="142" t="n">
        <x:v>63206.22</x:v>
      </x:c>
      <x:c r="AA287" s="142" t="n">
        <x:v>8161.284241327854</x:v>
      </x:c>
      <x:c r="AB287" s="142" t="n">
        <x:v>7919.526421665919</x:v>
      </x:c>
    </x:row>
    <x:row r="288">
      <x:c r="V288" s="141" t="n">
        <x:v>45578</x:v>
      </x:c>
      <x:c r="W288" s="142" t="n">
        <x:v>63206.23</x:v>
      </x:c>
      <x:c r="X288" s="142" t="n">
        <x:v>63285.72</x:v>
      </x:c>
      <x:c r="Y288" s="142" t="n">
        <x:v>62050</x:v>
      </x:c>
      <x:c r="Z288" s="142" t="n">
        <x:v>62870.02</x:v>
      </x:c>
      <x:c r="AA288" s="142" t="n">
        <x:v>8107.526637593027</x:v>
      </x:c>
      <x:c r="AB288" s="142" t="n">
        <x:v>7865.375727467548</x:v>
      </x:c>
    </x:row>
    <x:row r="289">
      <x:c r="V289" s="141" t="n">
        <x:v>45579</x:v>
      </x:c>
      <x:c r="W289" s="142" t="n">
        <x:v>62870.02</x:v>
      </x:c>
      <x:c r="X289" s="142" t="n">
        <x:v>66500</x:v>
      </x:c>
      <x:c r="Y289" s="142" t="n">
        <x:v>62457.81</x:v>
      </x:c>
      <x:c r="Z289" s="142" t="n">
        <x:v>66083.99</x:v>
      </x:c>
      <x:c r="AA289" s="142" t="n">
        <x:v>8621.43301973348</x:v>
      </x:c>
      <x:c r="AB289" s="142" t="n">
        <x:v>8383.039935179433</x:v>
      </x:c>
    </x:row>
    <x:row r="290">
      <x:c r="V290" s="141" t="n">
        <x:v>45580</x:v>
      </x:c>
      <x:c r="W290" s="142" t="n">
        <x:v>66084</x:v>
      </x:c>
      <x:c r="X290" s="142" t="n">
        <x:v>67950</x:v>
      </x:c>
      <x:c r="Y290" s="142" t="n">
        <x:v>64800.01</x:v>
      </x:c>
      <x:c r="Z290" s="142" t="n">
        <x:v>67074.14</x:v>
      </x:c>
      <x:c r="AA290" s="142" t="n">
        <x:v>8779.755718537876</x:v>
      </x:c>
      <x:c r="AB290" s="142" t="n">
        <x:v>8542.520333336826</x:v>
      </x:c>
    </x:row>
    <x:row r="291">
      <x:c r="V291" s="141" t="n">
        <x:v>45581</x:v>
      </x:c>
      <x:c r="W291" s="142" t="n">
        <x:v>67074.14</x:v>
      </x:c>
      <x:c r="X291" s="142" t="n">
        <x:v>68424</x:v>
      </x:c>
      <x:c r="Y291" s="142" t="n">
        <x:v>66750.49</x:v>
      </x:c>
      <x:c r="Z291" s="142" t="n">
        <x:v>67620.01</x:v>
      </x:c>
      <x:c r="AA291" s="142" t="n">
        <x:v>8867.039071157535</x:v>
      </x:c>
      <x:c r="AB291" s="142" t="n">
        <x:v>8630.441925966405</x:v>
      </x:c>
    </x:row>
    <x:row r="292">
      <x:c r="V292" s="141" t="n">
        <x:v>45582</x:v>
      </x:c>
      <x:c r="W292" s="142" t="n">
        <x:v>67620</x:v>
      </x:c>
      <x:c r="X292" s="142" t="n">
        <x:v>67939.4</x:v>
      </x:c>
      <x:c r="Y292" s="142" t="n">
        <x:v>66666</x:v>
      </x:c>
      <x:c r="Z292" s="142" t="n">
        <x:v>67421.78</x:v>
      </x:c>
      <x:c r="AA292" s="142" t="n">
        <x:v>8835.342551858444</x:v>
      </x:c>
      <x:c r="AB292" s="142" t="n">
        <x:v>8598.513632953487</x:v>
      </x:c>
    </x:row>
    <x:row r="293">
      <x:c r="V293" s="141" t="n">
        <x:v>45583</x:v>
      </x:c>
      <x:c r="W293" s="142" t="n">
        <x:v>67421.78</x:v>
      </x:c>
      <x:c r="X293" s="142" t="n">
        <x:v>69000</x:v>
      </x:c>
      <x:c r="Y293" s="142" t="n">
        <x:v>67192.36</x:v>
      </x:c>
      <x:c r="Z293" s="142" t="n">
        <x:v>68428</x:v>
      </x:c>
      <x:c r="AA293" s="142" t="n">
        <x:v>8996.234806558197</x:v>
      </x:c>
      <x:c r="AB293" s="142" t="n">
        <x:v>8760.582376309478</x:v>
      </x:c>
    </x:row>
    <x:row r="294">
      <x:c r="V294" s="141" t="n">
        <x:v>45584</x:v>
      </x:c>
      <x:c r="W294" s="142" t="n">
        <x:v>68427.99</x:v>
      </x:c>
      <x:c r="X294" s="142" t="n">
        <x:v>68693.26</x:v>
      </x:c>
      <x:c r="Y294" s="142" t="n">
        <x:v>68010</x:v>
      </x:c>
      <x:c r="Z294" s="142" t="n">
        <x:v>68378</x:v>
      </x:c>
      <x:c r="AA294" s="142" t="n">
        <x:v>8988.239922005128</x:v>
      </x:c>
      <x:c r="AB294" s="142" t="n">
        <x:v>8752.529030949814</x:v>
      </x:c>
    </x:row>
    <x:row r="295">
      <x:c r="V295" s="141" t="n">
        <x:v>45585</x:v>
      </x:c>
      <x:c r="W295" s="142" t="n">
        <x:v>68377.99</x:v>
      </x:c>
      <x:c r="X295" s="142" t="n">
        <x:v>69400</x:v>
      </x:c>
      <x:c r="Y295" s="142" t="n">
        <x:v>68100</x:v>
      </x:c>
      <x:c r="Z295" s="142" t="n">
        <x:v>69031.99</x:v>
      </x:c>
      <x:c r="AA295" s="142" t="n">
        <x:v>9092.811412982343</x:v>
      </x:c>
      <x:c r="AB295" s="142" t="n">
        <x:v>8857.865177585129</x:v>
      </x:c>
    </x:row>
    <x:row r="296">
      <x:c r="V296" s="141" t="n">
        <x:v>45586</x:v>
      </x:c>
      <x:c r="W296" s="142" t="n">
        <x:v>69032</x:v>
      </x:c>
      <x:c r="X296" s="142" t="n">
        <x:v>69519.52</x:v>
      </x:c>
      <x:c r="Y296" s="142" t="n">
        <x:v>66840.67</x:v>
      </x:c>
      <x:c r="Z296" s="142" t="n">
        <x:v>67377.5</x:v>
      </x:c>
      <x:c r="AA296" s="142" t="n">
        <x:v>8828.262282098247</x:v>
      </x:c>
      <x:c r="AB296" s="142" t="n">
        <x:v>8591.38159030297</x:v>
      </x:c>
    </x:row>
    <x:row r="297">
      <x:c r="V297" s="141" t="n">
        <x:v>45587</x:v>
      </x:c>
      <x:c r="W297" s="142" t="n">
        <x:v>67377.5</x:v>
      </x:c>
      <x:c r="X297" s="142" t="n">
        <x:v>67836.01</x:v>
      </x:c>
      <x:c r="Y297" s="142" t="n">
        <x:v>66571.42</x:v>
      </x:c>
      <x:c r="Z297" s="142" t="n">
        <x:v>67426</x:v>
      </x:c>
      <x:c r="AA297" s="142" t="n">
        <x:v>8836.017320114723</x:v>
      </x:c>
      <x:c r="AB297" s="142" t="n">
        <x:v>8599.193335301843</x:v>
      </x:c>
    </x:row>
    <x:row r="298">
      <x:c r="V298" s="141" t="n">
        <x:v>45588</x:v>
      </x:c>
      <x:c r="W298" s="142" t="n">
        <x:v>67426.01</x:v>
      </x:c>
      <x:c r="X298" s="142" t="n">
        <x:v>67472.83</x:v>
      </x:c>
      <x:c r="Y298" s="142" t="n">
        <x:v>65260</x:v>
      </x:c>
      <x:c r="Z298" s="142" t="n">
        <x:v>66668.65</x:v>
      </x:c>
      <x:c r="AA298" s="142" t="n">
        <x:v>8714.918803789407</x:v>
      </x:c>
      <x:c r="AB298" s="142" t="n">
        <x:v>8477.209313139036</x:v>
      </x:c>
    </x:row>
    <x:row r="299">
      <x:c r="V299" s="141" t="n">
        <x:v>45589</x:v>
      </x:c>
      <x:c r="W299" s="142" t="n">
        <x:v>66668.65</x:v>
      </x:c>
      <x:c r="X299" s="142" t="n">
        <x:v>68850</x:v>
      </x:c>
      <x:c r="Y299" s="142" t="n">
        <x:v>66510</x:v>
      </x:c>
      <x:c r="Z299" s="142" t="n">
        <x:v>68198.28</x:v>
      </x:c>
      <x:c r="AA299" s="142" t="n">
        <x:v>8959.503108967583</x:v>
      </x:c>
      <x:c r="AB299" s="142" t="n">
        <x:v>8723.582086389044</x:v>
      </x:c>
    </x:row>
    <x:row r="300">
      <x:c r="V300" s="141" t="n">
        <x:v>45590</x:v>
      </x:c>
      <x:c r="W300" s="142" t="n">
        <x:v>68198.27</x:v>
      </x:c>
      <x:c r="X300" s="142" t="n">
        <x:v>68771.49</x:v>
      </x:c>
      <x:c r="Y300" s="142" t="n">
        <x:v>65596.29</x:v>
      </x:c>
      <x:c r="Z300" s="142" t="n">
        <x:v>66698.33</x:v>
      </x:c>
      <x:c r="AA300" s="142" t="n">
        <x:v>8719.66456726011</x:v>
      </x:c>
      <x:c r="AB300" s="142" t="n">
        <x:v>8481.989778944531</x:v>
      </x:c>
    </x:row>
    <x:row r="301">
      <x:c r="V301" s="141" t="n">
        <x:v>45591</x:v>
      </x:c>
      <x:c r="W301" s="142" t="n">
        <x:v>66698.32</x:v>
      </x:c>
      <x:c r="X301" s="142" t="n">
        <x:v>67454.55</x:v>
      </x:c>
      <x:c r="Y301" s="142" t="n">
        <x:v>66439.9</x:v>
      </x:c>
      <x:c r="Z301" s="142" t="n">
        <x:v>67092.76</x:v>
      </x:c>
      <x:c r="AA301" s="142" t="n">
        <x:v>8782.733013545438</x:v>
      </x:c>
      <x:c r="AB301" s="142" t="n">
        <x:v>8545.519399148763</x:v>
      </x:c>
    </x:row>
    <x:row r="302">
      <x:c r="V302" s="141" t="n">
        <x:v>45592</x:v>
      </x:c>
      <x:c r="W302" s="142" t="n">
        <x:v>67092.76</x:v>
      </x:c>
      <x:c r="X302" s="142" t="n">
        <x:v>68332.05</x:v>
      </x:c>
      <x:c r="Y302" s="142" t="n">
        <x:v>66913.73</x:v>
      </x:c>
      <x:c r="Z302" s="142" t="n">
        <x:v>68021.7</x:v>
      </x:c>
      <x:c r="AA302" s="142" t="n">
        <x:v>8931.268374679968</x:v>
      </x:c>
      <x:c r="AB302" s="142" t="n">
        <x:v>8695.14089191686</x:v>
      </x:c>
    </x:row>
    <x:row r="303">
      <x:c r="V303" s="141" t="n">
        <x:v>45593</x:v>
      </x:c>
      <x:c r="W303" s="142" t="n">
        <x:v>68021.69</x:v>
      </x:c>
      <x:c r="X303" s="142" t="n">
        <x:v>70270</x:v>
      </x:c>
      <x:c r="Y303" s="142" t="n">
        <x:v>67618</x:v>
      </x:c>
      <x:c r="Z303" s="142" t="n">
        <x:v>69962.21</x:v>
      </x:c>
      <x:c r="AA303" s="142" t="n">
        <x:v>9241.551443161434</x:v>
      </x:c>
      <x:c r="AB303" s="142" t="n">
        <x:v>9007.692835994432</x:v>
      </x:c>
    </x:row>
    <x:row r="304">
      <x:c r="V304" s="141" t="n">
        <x:v>45594</x:v>
      </x:c>
      <x:c r="W304" s="142" t="n">
        <x:v>69962.21</x:v>
      </x:c>
      <x:c r="X304" s="142" t="n">
        <x:v>73620.12</x:v>
      </x:c>
      <x:c r="Y304" s="142" t="n">
        <x:v>69760</x:v>
      </x:c>
      <x:c r="Z304" s="142" t="n">
        <x:v>72736.42</x:v>
      </x:c>
      <x:c r="AA304" s="142" t="n">
        <x:v>9685.141216680744</x:v>
      </x:c>
      <x:c r="AB304" s="142" t="n">
        <x:v>9454.52626059901</x:v>
      </x:c>
    </x:row>
    <x:row r="305">
      <x:c r="V305" s="141" t="n">
        <x:v>45595</x:v>
      </x:c>
      <x:c r="W305" s="142" t="n">
        <x:v>72736.41</x:v>
      </x:c>
      <x:c r="X305" s="142" t="n">
        <x:v>72961</x:v>
      </x:c>
      <x:c r="Y305" s="142" t="n">
        <x:v>71436</x:v>
      </x:c>
      <x:c r="Z305" s="142" t="n">
        <x:v>72344.74</x:v>
      </x:c>
      <x:c r="AA305" s="142" t="n">
        <x:v>9622.512489045836</x:v>
      </x:c>
      <x:c r="AB305" s="142" t="n">
        <x:v>9391.43957438956</x:v>
      </x:c>
    </x:row>
    <x:row r="306">
      <x:c r="V306" s="141" t="n">
        <x:v>45596</x:v>
      </x:c>
      <x:c r="W306" s="142" t="n">
        <x:v>72344.75</x:v>
      </x:c>
      <x:c r="X306" s="142" t="n">
        <x:v>72700</x:v>
      </x:c>
      <x:c r="Y306" s="142" t="n">
        <x:v>69685.76</x:v>
      </x:c>
      <x:c r="Z306" s="142" t="n">
        <x:v>70292.01</x:v>
      </x:c>
      <x:c r="AA306" s="142" t="n">
        <x:v>9294.285701673465</x:v>
      </x:c>
      <x:c r="AB306" s="142" t="n">
        <x:v>9060.812701986762</x:v>
      </x:c>
    </x:row>
    <x:row r="307">
      <x:c r="V307" s="141" t="n">
        <x:v>45597</x:v>
      </x:c>
      <x:c r="W307" s="142" t="n">
        <x:v>70292.01</x:v>
      </x:c>
      <x:c r="X307" s="142" t="n">
        <x:v>71632.95</x:v>
      </x:c>
      <x:c r="Y307" s="142" t="n">
        <x:v>68820.14</x:v>
      </x:c>
      <x:c r="Z307" s="142" t="n">
        <x:v>69496.01</x:v>
      </x:c>
      <x:c r="AA307" s="142" t="n">
        <x:v>9167.00713958863</x:v>
      </x:c>
      <x:c r="AB307" s="142" t="n">
        <x:v>8932.603443860937</x:v>
      </x:c>
    </x:row>
    <x:row r="308">
      <x:c r="V308" s="141" t="n">
        <x:v>45598</x:v>
      </x:c>
      <x:c r="W308" s="142" t="n">
        <x:v>69496</x:v>
      </x:c>
      <x:c r="X308" s="142" t="n">
        <x:v>69914.37</x:v>
      </x:c>
      <x:c r="Y308" s="142" t="n">
        <x:v>69000.14</x:v>
      </x:c>
      <x:c r="Z308" s="142" t="n">
        <x:v>69374.74</x:v>
      </x:c>
      <x:c r="AA308" s="142" t="n">
        <x:v>9147.61634659362</x:v>
      </x:c>
      <x:c r="AB308" s="142" t="n">
        <x:v>8913.070860025613</x:v>
      </x:c>
    </x:row>
    <x:row r="309">
      <x:c r="V309" s="141" t="n">
        <x:v>45599</x:v>
      </x:c>
      <x:c r="W309" s="142" t="n">
        <x:v>69374.74</x:v>
      </x:c>
      <x:c r="X309" s="142" t="n">
        <x:v>69391</x:v>
      </x:c>
      <x:c r="Y309" s="142" t="n">
        <x:v>67478.73</x:v>
      </x:c>
      <x:c r="Z309" s="142" t="n">
        <x:v>68775.99</x:v>
      </x:c>
      <x:c r="AA309" s="142" t="n">
        <x:v>9051.877604070638</x:v>
      </x:c>
      <x:c r="AB309" s="142" t="n">
        <x:v>8816.632049343656</x:v>
      </x:c>
    </x:row>
    <x:row r="310">
      <x:c r="V310" s="141" t="n">
        <x:v>45600</x:v>
      </x:c>
      <x:c r="W310" s="142" t="n">
        <x:v>68775.99</x:v>
      </x:c>
      <x:c r="X310" s="142" t="n">
        <x:v>69500</x:v>
      </x:c>
      <x:c r="Y310" s="142" t="n">
        <x:v>66835</x:v>
      </x:c>
      <x:c r="Z310" s="142" t="n">
        <x:v>67850.01</x:v>
      </x:c>
      <x:c r="AA310" s="142" t="n">
        <x:v>8903.815540101645</x:v>
      </x:c>
      <x:c r="AB310" s="142" t="n">
        <x:v>8667.48731462085</x:v>
      </x:c>
    </x:row>
    <x:row r="311">
      <x:c r="V311" s="141" t="n">
        <x:v>45601</x:v>
      </x:c>
      <x:c r="W311" s="142" t="n">
        <x:v>67850.01</x:v>
      </x:c>
      <x:c r="X311" s="142" t="n">
        <x:v>70577.91</x:v>
      </x:c>
      <x:c r="Y311" s="142" t="n">
        <x:v>67476.63</x:v>
      </x:c>
      <x:c r="Z311" s="142" t="n">
        <x:v>69372.01</x:v>
      </x:c>
      <x:c r="AA311" s="142" t="n">
        <x:v>9147.179825897023</x:v>
      </x:c>
      <x:c r="AB311" s="142" t="n">
        <x:v>8912.631147368975</x:v>
      </x:c>
    </x:row>
    <x:row r="312">
      <x:c r="V312" s="141" t="n">
        <x:v>45602</x:v>
      </x:c>
      <x:c r="W312" s="142" t="n">
        <x:v>69372.01</x:v>
      </x:c>
      <x:c r="X312" s="142" t="n">
        <x:v>76400</x:v>
      </x:c>
      <x:c r="Y312" s="142" t="n">
        <x:v>69298</x:v>
      </x:c>
      <x:c r="Z312" s="142" t="n">
        <x:v>75571.99</x:v>
      </x:c>
      <x:c r="AA312" s="142" t="n">
        <x:v>10138.542312523581</x:v>
      </x:c>
      <x:c r="AB312" s="142" t="n">
        <x:v>9911.24275062897</x:v>
      </x:c>
    </x:row>
    <x:row r="313">
      <x:c r="V313" s="141" t="n">
        <x:v>45603</x:v>
      </x:c>
      <x:c r="W313" s="142" t="n">
        <x:v>75571.99</x:v>
      </x:c>
      <x:c r="X313" s="142" t="n">
        <x:v>76849.99</x:v>
      </x:c>
      <x:c r="Y313" s="142" t="n">
        <x:v>74416</x:v>
      </x:c>
      <x:c r="Z313" s="142" t="n">
        <x:v>75857.89</x:v>
      </x:c>
      <x:c r="AA313" s="142" t="n">
        <x:v>10184.257062398021</x:v>
      </x:c>
      <x:c r="AB313" s="142" t="n">
        <x:v>9957.291779395518</x:v>
      </x:c>
    </x:row>
    <x:row r="314">
      <x:c r="V314" s="141" t="n">
        <x:v>45604</x:v>
      </x:c>
      <x:c r="W314" s="142" t="n">
        <x:v>75857.89</x:v>
      </x:c>
      <x:c r="X314" s="142" t="n">
        <x:v>77199.99</x:v>
      </x:c>
      <x:c r="Y314" s="142" t="n">
        <x:v>75555</x:v>
      </x:c>
      <x:c r="Z314" s="142" t="n">
        <x:v>76509.78</x:v>
      </x:c>
      <x:c r="AA314" s="142" t="n">
        <x:v>10288.492768224005</x:v>
      </x:c>
      <x:c r="AB314" s="142" t="n">
        <x:v>10062.289685525726</x:v>
      </x:c>
    </x:row>
    <x:row r="315">
      <x:c r="V315" s="141" t="n">
        <x:v>45605</x:v>
      </x:c>
      <x:c r="W315" s="142" t="n">
        <x:v>76509.78</x:v>
      </x:c>
      <x:c r="X315" s="142" t="n">
        <x:v>76900</x:v>
      </x:c>
      <x:c r="Y315" s="142" t="n">
        <x:v>75714.66</x:v>
      </x:c>
      <x:c r="Z315" s="142" t="n">
        <x:v>76677.46</x:v>
      </x:c>
      <x:c r="AA315" s="142" t="n">
        <x:v>10315.304413061172</x:v>
      </x:c>
      <x:c r="AB315" s="142" t="n">
        <x:v>10089.29738452389</x:v>
      </x:c>
    </x:row>
    <x:row r="316">
      <x:c r="V316" s="141" t="n">
        <x:v>45606</x:v>
      </x:c>
      <x:c r="W316" s="142" t="n">
        <x:v>76677.46</x:v>
      </x:c>
      <x:c r="X316" s="142" t="n">
        <x:v>81500</x:v>
      </x:c>
      <x:c r="Y316" s="142" t="n">
        <x:v>76492</x:v>
      </x:c>
      <x:c r="Z316" s="142" t="n">
        <x:v>80370.01</x:v>
      </x:c>
      <x:c r="AA316" s="142" t="n">
        <x:v>10905.734632189764</x:v>
      </x:c>
      <x:c r="AB316" s="142" t="n">
        <x:v>10684.044992680316</x:v>
      </x:c>
    </x:row>
    <x:row r="317">
      <x:c r="V317" s="141" t="n">
        <x:v>45607</x:v>
      </x:c>
      <x:c r="W317" s="142" t="n">
        <x:v>80370.01</x:v>
      </x:c>
      <x:c r="X317" s="142" t="n">
        <x:v>89530.54</x:v>
      </x:c>
      <x:c r="Y317" s="142" t="n">
        <x:v>80216.01</x:v>
      </x:c>
      <x:c r="Z317" s="142" t="n">
        <x:v>88647.99</x:v>
      </x:c>
      <x:c r="AA317" s="142" t="n">
        <x:v>12229.364520841811</x:v>
      </x:c>
      <x:c r="AB317" s="142" t="n">
        <x:v>12017.353629087882</x:v>
      </x:c>
    </x:row>
    <x:row r="318">
      <x:c r="V318" s="141" t="n">
        <x:v>45608</x:v>
      </x:c>
      <x:c r="W318" s="142" t="n">
        <x:v>88648</x:v>
      </x:c>
      <x:c r="X318" s="142" t="n">
        <x:v>89940</x:v>
      </x:c>
      <x:c r="Y318" s="142" t="n">
        <x:v>85072</x:v>
      </x:c>
      <x:c r="Z318" s="142" t="n">
        <x:v>87952.01</x:v>
      </x:c>
      <x:c r="AA318" s="142" t="n">
        <x:v>12118.07892581693</x:v>
      </x:c>
      <x:c r="AB318" s="142" t="n">
        <x:v>11905.254283019523</x:v>
      </x:c>
    </x:row>
    <x:row r="319">
      <x:c r="V319" s="141" t="n">
        <x:v>45609</x:v>
      </x:c>
      <x:c r="W319" s="142" t="n">
        <x:v>87952</x:v>
      </x:c>
      <x:c r="X319" s="142" t="n">
        <x:v>93265.64</x:v>
      </x:c>
      <x:c r="Y319" s="142" t="n">
        <x:v>86127.99</x:v>
      </x:c>
      <x:c r="Z319" s="142" t="n">
        <x:v>90375.2</x:v>
      </x:c>
      <x:c r="AA319" s="142" t="n">
        <x:v>12505.541411819886</x:v>
      </x:c>
      <x:c r="AB319" s="142" t="n">
        <x:v>12295.550001861131</x:v>
      </x:c>
    </x:row>
    <x:row r="320">
      <x:c r="V320" s="141" t="n">
        <x:v>45610</x:v>
      </x:c>
      <x:c r="W320" s="142" t="n">
        <x:v>90375.21</x:v>
      </x:c>
      <x:c r="X320" s="142" t="n">
        <x:v>91790</x:v>
      </x:c>
      <x:c r="Y320" s="142" t="n">
        <x:v>86668.21</x:v>
      </x:c>
      <x:c r="Z320" s="142" t="n">
        <x:v>87325.59</x:v>
      </x:c>
      <x:c r="AA320" s="142" t="n">
        <x:v>12017.915814182277</x:v>
      </x:c>
      <x:c r="AB320" s="142" t="n">
        <x:v>11804.35875101553</x:v>
      </x:c>
    </x:row>
    <x:row r="321">
      <x:c r="V321" s="141" t="n">
        <x:v>45611</x:v>
      </x:c>
      <x:c r="W321" s="142" t="n">
        <x:v>87325.59</x:v>
      </x:c>
      <x:c r="X321" s="142" t="n">
        <x:v>91850</x:v>
      </x:c>
      <x:c r="Y321" s="142" t="n">
        <x:v>87073.38</x:v>
      </x:c>
      <x:c r="Z321" s="142" t="n">
        <x:v>91032.07</x:v>
      </x:c>
      <x:c r="AA321" s="142" t="n">
        <x:v>12610.573408147357</x:v>
      </x:c>
      <x:c r="AB321" s="142" t="n">
        <x:v>12401.350021189162</x:v>
      </x:c>
    </x:row>
    <x:row r="322">
      <x:c r="V322" s="141" t="n">
        <x:v>45612</x:v>
      </x:c>
      <x:c r="W322" s="142" t="n">
        <x:v>91032.08</x:v>
      </x:c>
      <x:c r="X322" s="142" t="n">
        <x:v>91779.66</x:v>
      </x:c>
      <x:c r="Y322" s="142" t="n">
        <x:v>90056.17</x:v>
      </x:c>
      <x:c r="Z322" s="142" t="n">
        <x:v>90586.92</x:v>
      </x:c>
      <x:c r="AA322" s="142" t="n">
        <x:v>12539.394950971397</x:v>
      </x:c>
      <x:c r="AB322" s="142" t="n">
        <x:v>12329.651087452086</x:v>
      </x:c>
    </x:row>
    <x:row r="323">
      <x:c r="V323" s="141" t="n">
        <x:v>45613</x:v>
      </x:c>
      <x:c r="W323" s="142" t="n">
        <x:v>90587.98</x:v>
      </x:c>
      <x:c r="X323" s="142" t="n">
        <x:v>91449.99</x:v>
      </x:c>
      <x:c r="Y323" s="142" t="n">
        <x:v>88722</x:v>
      </x:c>
      <x:c r="Z323" s="142" t="n">
        <x:v>89855.99</x:v>
      </x:c>
      <x:c r="AA323" s="142" t="n">
        <x:v>12422.520931643923</x:v>
      </x:c>
      <x:c r="AB323" s="142" t="n">
        <x:v>12211.922452977326</x:v>
      </x:c>
    </x:row>
    <x:row r="324">
      <x:c r="V324" s="141" t="n">
        <x:v>45614</x:v>
      </x:c>
      <x:c r="W324" s="142" t="n">
        <x:v>89855.98</x:v>
      </x:c>
      <x:c r="X324" s="142" t="n">
        <x:v>92594</x:v>
      </x:c>
      <x:c r="Y324" s="142" t="n">
        <x:v>89376.9</x:v>
      </x:c>
      <x:c r="Z324" s="142" t="n">
        <x:v>90464.08</x:v>
      </x:c>
      <x:c r="AA324" s="142" t="n">
        <x:v>12519.75311860142</x:v>
      </x:c>
      <x:c r="AB324" s="142" t="n">
        <x:v>12309.865628572468</x:v>
      </x:c>
    </x:row>
    <x:row r="325">
      <x:c r="V325" s="141" t="n">
        <x:v>45615</x:v>
      </x:c>
      <x:c r="W325" s="142" t="n">
        <x:v>90464.07</x:v>
      </x:c>
      <x:c r="X325" s="142" t="n">
        <x:v>93905.51</x:v>
      </x:c>
      <x:c r="Y325" s="142" t="n">
        <x:v>90357</x:v>
      </x:c>
      <x:c r="Z325" s="142" t="n">
        <x:v>92310.79</x:v>
      </x:c>
      <x:c r="AA325" s="142" t="n">
        <x:v>12815.037783661326</x:v>
      </x:c>
      <x:c r="AB325" s="142" t="n">
        <x:v>12607.309496755308</x:v>
      </x:c>
    </x:row>
    <x:row r="326">
      <x:c r="V326" s="141" t="n">
        <x:v>45616</x:v>
      </x:c>
      <x:c r="W326" s="142" t="n">
        <x:v>92310.8</x:v>
      </x:c>
      <x:c r="X326" s="142" t="n">
        <x:v>94831.97</x:v>
      </x:c>
      <x:c r="Y326" s="142" t="n">
        <x:v>91500</x:v>
      </x:c>
      <x:c r="Z326" s="142" t="n">
        <x:v>94286.56</x:v>
      </x:c>
      <x:c r="AA326" s="142" t="n">
        <x:v>13130.958844729612</x:v>
      </x:c>
      <x:c r="AB326" s="142" t="n">
        <x:v>12925.540659980514</x:v>
      </x:c>
    </x:row>
    <x:row r="327">
      <x:c r="V327" s="141" t="n">
        <x:v>45617</x:v>
      </x:c>
      <x:c r="W327" s="142" t="n">
        <x:v>94286.56</x:v>
      </x:c>
      <x:c r="X327" s="142" t="n">
        <x:v>98988</x:v>
      </x:c>
      <x:c r="Y327" s="142" t="n">
        <x:v>94040</x:v>
      </x:c>
      <x:c r="Z327" s="142" t="n">
        <x:v>98317.12</x:v>
      </x:c>
      <x:c r="AA327" s="142" t="n">
        <x:v>13775.436082413853</x:v>
      </x:c>
      <x:c r="AB327" s="142" t="n">
        <x:v>13574.730493437331</x:v>
      </x:c>
    </x:row>
    <x:row r="328">
      <x:c r="V328" s="141" t="n">
        <x:v>45618</x:v>
      </x:c>
      <x:c r="W328" s="142" t="n">
        <x:v>98317.12</x:v>
      </x:c>
      <x:c r="X328" s="142" t="n">
        <x:v>99588.01</x:v>
      </x:c>
      <x:c r="Y328" s="142" t="n">
        <x:v>97122.11</x:v>
      </x:c>
      <x:c r="Z328" s="142" t="n">
        <x:v>98892</x:v>
      </x:c>
      <x:c r="AA328" s="142" t="n">
        <x:v>13867.358067051204</x:v>
      </x:c>
      <x:c r="AB328" s="142" t="n">
        <x:v>13667.324637044585</x:v>
      </x:c>
    </x:row>
    <x:row r="329">
      <x:c r="V329" s="141" t="n">
        <x:v>45619</x:v>
      </x:c>
      <x:c r="W329" s="142" t="n">
        <x:v>98892</x:v>
      </x:c>
      <x:c r="X329" s="142" t="n">
        <x:v>98908.85</x:v>
      </x:c>
      <x:c r="Y329" s="142" t="n">
        <x:v>97136</x:v>
      </x:c>
      <x:c r="Z329" s="142" t="n">
        <x:v>97672.4</x:v>
      </x:c>
      <x:c r="AA329" s="142" t="n">
        <x:v>13672.346843032778</x:v>
      </x:c>
      <x:c r="AB329" s="142" t="n">
        <x:v>13470.887437031699</x:v>
      </x:c>
    </x:row>
    <x:row r="330">
      <x:c r="V330" s="141" t="n">
        <x:v>45620</x:v>
      </x:c>
      <x:c r="W330" s="142" t="n">
        <x:v>97672.4</x:v>
      </x:c>
      <x:c r="X330" s="142" t="n">
        <x:v>98564</x:v>
      </x:c>
      <x:c r="Y330" s="142" t="n">
        <x:v>95734.77</x:v>
      </x:c>
      <x:c r="Z330" s="142" t="n">
        <x:v>97900.04</x:v>
      </x:c>
      <x:c r="AA330" s="142" t="n">
        <x:v>13708.745953425983</x:v>
      </x:c>
      <x:c r="AB330" s="142" t="n">
        <x:v>13507.552707785171</x:v>
      </x:c>
    </x:row>
    <x:row r="331">
      <x:c r="V331" s="141" t="n">
        <x:v>45621</x:v>
      </x:c>
      <x:c r="W331" s="142" t="n">
        <x:v>97900.05</x:v>
      </x:c>
      <x:c r="X331" s="142" t="n">
        <x:v>98871.8</x:v>
      </x:c>
      <x:c r="Y331" s="142" t="n">
        <x:v>92600.19</x:v>
      </x:c>
      <x:c r="Z331" s="142" t="n">
        <x:v>93010.01</x:v>
      </x:c>
      <x:c r="AA331" s="142" t="n">
        <x:v>12926.841447205245</x:v>
      </x:c>
      <x:c r="AB331" s="142" t="n">
        <x:v>12719.930699602972</x:v>
      </x:c>
    </x:row>
    <x:row r="332">
      <x:c r="V332" s="141" t="n">
        <x:v>45622</x:v>
      </x:c>
      <x:c r="W332" s="142" t="n">
        <x:v>93010.01</x:v>
      </x:c>
      <x:c r="X332" s="142" t="n">
        <x:v>94973.37</x:v>
      </x:c>
      <x:c r="Y332" s="142" t="n">
        <x:v>90791.1</x:v>
      </x:c>
      <x:c r="Z332" s="142" t="n">
        <x:v>91965.16</x:v>
      </x:c>
      <x:c r="AA332" s="142" t="n">
        <x:v>12759.772344699793</x:v>
      </x:c>
      <x:c r="AB332" s="142" t="n">
        <x:v>12551.639941622108</x:v>
      </x:c>
    </x:row>
    <x:row r="333">
      <x:c r="V333" s="141" t="n">
        <x:v>45623</x:v>
      </x:c>
      <x:c r="W333" s="142" t="n">
        <x:v>91965.16</x:v>
      </x:c>
      <x:c r="X333" s="142" t="n">
        <x:v>97208.21</x:v>
      </x:c>
      <x:c r="Y333" s="142" t="n">
        <x:v>91792.14</x:v>
      </x:c>
      <x:c r="Z333" s="142" t="n">
        <x:v>95863.11</x:v>
      </x:c>
      <x:c r="AA333" s="142" t="n">
        <x:v>13383.045549572387</x:v>
      </x:c>
      <x:c r="AB333" s="142" t="n">
        <x:v>13179.470692516028</x:v>
      </x:c>
    </x:row>
    <x:row r="334">
      <x:c r="V334" s="141" t="n">
        <x:v>45624</x:v>
      </x:c>
      <x:c r="W334" s="142" t="n">
        <x:v>95863.11</x:v>
      </x:c>
      <x:c r="X334" s="142" t="n">
        <x:v>96564</x:v>
      </x:c>
      <x:c r="Y334" s="142" t="n">
        <x:v>94640</x:v>
      </x:c>
      <x:c r="Z334" s="142" t="n">
        <x:v>95643.98</x:v>
      </x:c>
      <x:c r="AA334" s="142" t="n">
        <x:v>13348.007168530112</x:v>
      </x:c>
      <x:c r="AB334" s="142" t="n">
        <x:v>13144.176101142772</x:v>
      </x:c>
    </x:row>
    <x:row r="335">
      <x:c r="V335" s="141" t="n">
        <x:v>45625</x:v>
      </x:c>
      <x:c r="W335" s="142" t="n">
        <x:v>95643.99</x:v>
      </x:c>
      <x:c r="X335" s="142" t="n">
        <x:v>98619.99</x:v>
      </x:c>
      <x:c r="Y335" s="142" t="n">
        <x:v>95364.99</x:v>
      </x:c>
      <x:c r="Z335" s="142" t="n">
        <x:v>97460</x:v>
      </x:c>
      <x:c r="AA335" s="142" t="n">
        <x:v>13638.384573451349</x:v>
      </x:c>
      <x:c r="AB335" s="142" t="n">
        <x:v>13436.676825943854</x:v>
      </x:c>
    </x:row>
    <x:row r="336">
      <x:c r="V336" s="141" t="n">
        <x:v>45626</x:v>
      </x:c>
      <x:c r="W336" s="142" t="n">
        <x:v>97460</x:v>
      </x:c>
      <x:c r="X336" s="142" t="n">
        <x:v>97463.95</x:v>
      </x:c>
      <x:c r="Y336" s="142" t="n">
        <x:v>96092.01</x:v>
      </x:c>
      <x:c r="Z336" s="142" t="n">
        <x:v>96407.99</x:v>
      </x:c>
      <x:c r="AA336" s="142" t="n">
        <x:v>13470.170603477898</x:v>
      </x:c>
      <x:c r="AB336" s="142" t="n">
        <x:v>13267.232828907487</x:v>
      </x:c>
    </x:row>
    <x:row r="337">
      <x:c r="V337" s="141" t="n">
        <x:v>45627</x:v>
      </x:c>
      <x:c r="W337" s="142" t="n">
        <x:v>96407.99</x:v>
      </x:c>
      <x:c r="X337" s="142" t="n">
        <x:v>97836</x:v>
      </x:c>
      <x:c r="Y337" s="142" t="n">
        <x:v>95693.88</x:v>
      </x:c>
      <x:c r="Z337" s="142" t="n">
        <x:v>97185.18</x:v>
      </x:c>
      <x:c r="AA337" s="142" t="n">
        <x:v>13594.441489993867</x:v>
      </x:c>
      <x:c r="AB337" s="142" t="n">
        <x:v>13392.412418509006</x:v>
      </x:c>
    </x:row>
    <x:row r="338">
      <x:c r="V338" s="141" t="n">
        <x:v>45628</x:v>
      </x:c>
      <x:c r="W338" s="142" t="n">
        <x:v>97185.17</x:v>
      </x:c>
      <x:c r="X338" s="142" t="n">
        <x:v>98130</x:v>
      </x:c>
      <x:c r="Y338" s="142" t="n">
        <x:v>94395</x:v>
      </x:c>
      <x:c r="Z338" s="142" t="n">
        <x:v>95840.62</x:v>
      </x:c>
      <x:c r="AA338" s="142" t="n">
        <x:v>13379.449450500417</x:v>
      </x:c>
      <x:c r="AB338" s="142" t="n">
        <x:v>13175.848297773253</x:v>
      </x:c>
    </x:row>
    <x:row r="339">
      <x:c r="V339" s="141" t="n">
        <x:v>45629</x:v>
      </x:c>
      <x:c r="W339" s="142" t="n">
        <x:v>95840.61</x:v>
      </x:c>
      <x:c r="X339" s="142" t="n">
        <x:v>96305.52</x:v>
      </x:c>
      <x:c r="Y339" s="142" t="n">
        <x:v>93578.17</x:v>
      </x:c>
      <x:c r="Z339" s="142" t="n">
        <x:v>95849.69</x:v>
      </x:c>
      <x:c r="AA339" s="142" t="n">
        <x:v>13380.899722558344</x:v>
      </x:c>
      <x:c r="AB339" s="142" t="n">
        <x:v>13177.309174621496</x:v>
      </x:c>
    </x:row>
    <x:row r="340">
      <x:c r="V340" s="141" t="n">
        <x:v>45630</x:v>
      </x:c>
      <x:c r="W340" s="142" t="n">
        <x:v>95849.69</x:v>
      </x:c>
      <x:c r="X340" s="142" t="n">
        <x:v>99000</x:v>
      </x:c>
      <x:c r="Y340" s="142" t="n">
        <x:v>94587.83</x:v>
      </x:c>
      <x:c r="Z340" s="142" t="n">
        <x:v>98587.32</x:v>
      </x:c>
      <x:c r="AA340" s="142" t="n">
        <x:v>13818.640438538632</x:v>
      </x:c>
      <x:c r="AB340" s="142" t="n">
        <x:v>13618.250771760948</x:v>
      </x:c>
    </x:row>
    <x:row r="341">
      <x:c r="V341" s="141" t="n">
        <x:v>45631</x:v>
      </x:c>
      <x:c r="W341" s="142" t="n">
        <x:v>98587.32</x:v>
      </x:c>
      <x:c r="X341" s="142" t="n">
        <x:v>104088</x:v>
      </x:c>
      <x:c r="Y341" s="142" t="n">
        <x:v>90500</x:v>
      </x:c>
      <x:c r="Z341" s="142" t="n">
        <x:v>96945.63</x:v>
      </x:c>
      <x:c r="AA341" s="142" t="n">
        <x:v>13556.137998100123</x:v>
      </x:c>
      <x:c r="AB341" s="142" t="n">
        <x:v>13353.828840890865</x:v>
      </x:c>
    </x:row>
    <x:row r="342">
      <x:c r="V342" s="141" t="n">
        <x:v>45632</x:v>
      </x:c>
      <x:c r="W342" s="142" t="n">
        <x:v>96945.63</x:v>
      </x:c>
      <x:c r="X342" s="142" t="n">
        <x:v>101898.99</x:v>
      </x:c>
      <x:c r="Y342" s="142" t="n">
        <x:v>95981.72</x:v>
      </x:c>
      <x:c r="Z342" s="142" t="n">
        <x:v>99740.84</x:v>
      </x:c>
      <x:c r="AA342" s="142" t="n">
        <x:v>14003.08562313172</x:v>
      </x:c>
      <x:c r="AB342" s="142" t="n">
        <x:v>13804.044670546502</x:v>
      </x:c>
    </x:row>
    <x:row r="343">
      <x:c r="V343" s="141" t="n">
        <x:v>45633</x:v>
      </x:c>
      <x:c r="W343" s="142" t="n">
        <x:v>99740.84</x:v>
      </x:c>
      <x:c r="X343" s="142" t="n">
        <x:v>100439.18</x:v>
      </x:c>
      <x:c r="Y343" s="142" t="n">
        <x:v>98844</x:v>
      </x:c>
      <x:c r="Z343" s="142" t="n">
        <x:v>99831.99</x:v>
      </x:c>
      <x:c r="AA343" s="142" t="n">
        <x:v>14017.660297671964</x:v>
      </x:c>
      <x:c r="AB343" s="142" t="n">
        <x:v>13818.725919137169</x:v>
      </x:c>
    </x:row>
    <x:row r="344">
      <x:c r="V344" s="141" t="n">
        <x:v>45634</x:v>
      </x:c>
      <x:c r="W344" s="142" t="n">
        <x:v>99831.99</x:v>
      </x:c>
      <x:c r="X344" s="142" t="n">
        <x:v>101351</x:v>
      </x:c>
      <x:c r="Y344" s="142" t="n">
        <x:v>98657.7</x:v>
      </x:c>
      <x:c r="Z344" s="142" t="n">
        <x:v>101109.59</x:v>
      </x:c>
      <x:c r="AA344" s="142" t="n">
        <x:v>14221.945587771945</x:v>
      </x:c>
      <x:c r="AB344" s="142" t="n">
        <x:v>14024.504999767261</x:v>
      </x:c>
    </x:row>
    <x:row r="345">
      <x:c r="V345" s="141" t="n">
        <x:v>45635</x:v>
      </x:c>
      <x:c r="W345" s="142" t="n">
        <x:v>101109.6</x:v>
      </x:c>
      <x:c r="X345" s="142" t="n">
        <x:v>101215.93</x:v>
      </x:c>
      <x:c r="Y345" s="142" t="n">
        <x:v>94150.05</x:v>
      </x:c>
      <x:c r="Z345" s="142" t="n">
        <x:v>97276.47</x:v>
      </x:c>
      <x:c r="AA345" s="142" t="n">
        <x:v>13609.038550210858</x:v>
      </x:c>
      <x:c r="AB345" s="142" t="n">
        <x:v>13407.116216466678</x:v>
      </x:c>
    </x:row>
    <x:row r="346">
      <x:c r="V346" s="141" t="n">
        <x:v>45636</x:v>
      </x:c>
      <x:c r="W346" s="142" t="n">
        <x:v>97276.48</x:v>
      </x:c>
      <x:c r="X346" s="142" t="n">
        <x:v>98270</x:v>
      </x:c>
      <x:c r="Y346" s="142" t="n">
        <x:v>94256.54</x:v>
      </x:c>
      <x:c r="Z346" s="142" t="n">
        <x:v>96593</x:v>
      </x:c>
      <x:c r="AA346" s="142" t="n">
        <x:v>13499.753275301156</x:v>
      </x:c>
      <x:c r="AB346" s="142" t="n">
        <x:v>13297.031817407309</x:v>
      </x:c>
    </x:row>
    <x:row r="347">
      <x:c r="V347" s="141" t="n">
        <x:v>45637</x:v>
      </x:c>
      <x:c r="W347" s="142" t="n">
        <x:v>96593</x:v>
      </x:c>
      <x:c r="X347" s="142" t="n">
        <x:v>101888</x:v>
      </x:c>
      <x:c r="Y347" s="142" t="n">
        <x:v>95658.24</x:v>
      </x:c>
      <x:c r="Z347" s="142" t="n">
        <x:v>101125</x:v>
      </x:c>
      <x:c r="AA347" s="142" t="n">
        <x:v>14224.4096111912</x:v>
      </x:c>
      <x:c r="AB347" s="142" t="n">
        <x:v>14026.98704080711</x:v>
      </x:c>
    </x:row>
    <x:row r="348">
      <x:c r="V348" s="141" t="n">
        <x:v>45638</x:v>
      </x:c>
      <x:c r="W348" s="142" t="n">
        <x:v>101125</x:v>
      </x:c>
      <x:c r="X348" s="142" t="n">
        <x:v>102540</x:v>
      </x:c>
      <x:c r="Y348" s="142" t="n">
        <x:v>99311.64</x:v>
      </x:c>
      <x:c r="Z348" s="142" t="n">
        <x:v>100004.29</x:v>
      </x:c>
      <x:c r="AA348" s="142" t="n">
        <x:v>14045.210669841832</x:v>
      </x:c>
      <x:c r="AB348" s="142" t="n">
        <x:v>13846.477747246563</x:v>
      </x:c>
    </x:row>
    <x:row r="349">
      <x:c r="V349" s="141" t="n">
        <x:v>45639</x:v>
      </x:c>
      <x:c r="W349" s="142" t="n">
        <x:v>100004.29</x:v>
      </x:c>
      <x:c r="X349" s="142" t="n">
        <x:v>101895.26</x:v>
      </x:c>
      <x:c r="Y349" s="142" t="n">
        <x:v>99205</x:v>
      </x:c>
      <x:c r="Z349" s="142" t="n">
        <x:v>101424.25</x:v>
      </x:c>
      <x:c r="AA349" s="142" t="n">
        <x:v>14272.258995241311</x:v>
      </x:c>
      <x:c r="AB349" s="142" t="n">
        <x:v>14075.186312784688</x:v>
      </x:c>
    </x:row>
    <x:row r="350">
      <x:c r="V350" s="141" t="n">
        <x:v>45640</x:v>
      </x:c>
      <x:c r="W350" s="142" t="n">
        <x:v>101424.24</x:v>
      </x:c>
      <x:c r="X350" s="142" t="n">
        <x:v>102650</x:v>
      </x:c>
      <x:c r="Y350" s="142" t="n">
        <x:v>100609.41</x:v>
      </x:c>
      <x:c r="Z350" s="142" t="n">
        <x:v>101420</x:v>
      </x:c>
      <x:c r="AA350" s="142" t="n">
        <x:v>14271.579430054298</x:v>
      </x:c>
      <x:c r="AB350" s="142" t="n">
        <x:v>14074.501778429118</x:v>
      </x:c>
    </x:row>
    <x:row r="351">
      <x:c r="V351" s="141" t="n">
        <x:v>45641</x:v>
      </x:c>
      <x:c r="W351" s="142" t="n">
        <x:v>101420</x:v>
      </x:c>
      <x:c r="X351" s="142" t="n">
        <x:v>105250</x:v>
      </x:c>
      <x:c r="Y351" s="142" t="n">
        <x:v>101237.14</x:v>
      </x:c>
      <x:c r="Z351" s="142" t="n">
        <x:v>104463.99</x:v>
      </x:c>
      <x:c r="AA351" s="142" t="n">
        <x:v>14758.306402668142</x:v>
      </x:c>
      <x:c r="AB351" s="142" t="n">
        <x:v>14564.787833256294</x:v>
      </x:c>
    </x:row>
    <x:row r="352">
      <x:c r="V352" s="141" t="n">
        <x:v>45642</x:v>
      </x:c>
      <x:c r="W352" s="142" t="n">
        <x:v>104463.99</x:v>
      </x:c>
      <x:c r="X352" s="142" t="n">
        <x:v>107793.07</x:v>
      </x:c>
      <x:c r="Y352" s="142" t="n">
        <x:v>103333</x:v>
      </x:c>
      <x:c r="Z352" s="142" t="n">
        <x:v>106058.66</x:v>
      </x:c>
      <x:c r="AA352" s="142" t="n">
        <x:v>15013.290453672947</x:v>
      </x:c>
      <x:c r="AB352" s="142" t="n">
        <x:v>14821.636398150149</x:v>
      </x:c>
    </x:row>
    <x:row r="353">
      <x:c r="V353" s="141" t="n">
        <x:v>45643</x:v>
      </x:c>
      <x:c r="W353" s="142" t="n">
        <x:v>106058.65</x:v>
      </x:c>
      <x:c r="X353" s="142" t="n">
        <x:v>108353</x:v>
      </x:c>
      <x:c r="Y353" s="142" t="n">
        <x:v>105321.49</x:v>
      </x:c>
      <x:c r="Z353" s="142" t="n">
        <x:v>106133.74</x:v>
      </x:c>
      <x:c r="AA353" s="142" t="n">
        <x:v>15025.295572317835</x:v>
      </x:c>
      <x:c r="AB353" s="142" t="n">
        <x:v>14833.729301542218</x:v>
      </x:c>
    </x:row>
    <x:row r="354">
      <x:c r="V354" s="141" t="n">
        <x:v>45644</x:v>
      </x:c>
      <x:c r="W354" s="142" t="n">
        <x:v>106133.74</x:v>
      </x:c>
      <x:c r="X354" s="142" t="n">
        <x:v>106524.98</x:v>
      </x:c>
      <x:c r="Y354" s="142" t="n">
        <x:v>100000</x:v>
      </x:c>
      <x:c r="Z354" s="142" t="n">
        <x:v>100204.01</x:v>
      </x:c>
      <x:c r="AA354" s="142" t="n">
        <x:v>14077.145436700606</x:v>
      </x:c>
      <x:c r="AB354" s="142" t="n">
        <x:v>13878.6460299512</x:v>
      </x:c>
    </x:row>
    <x:row r="355">
      <x:c r="V355" s="141" t="n">
        <x:v>45645</x:v>
      </x:c>
      <x:c r="W355" s="142" t="n">
        <x:v>100204.01</x:v>
      </x:c>
      <x:c r="X355" s="142" t="n">
        <x:v>102800.11</x:v>
      </x:c>
      <x:c r="Y355" s="142" t="n">
        <x:v>95700</x:v>
      </x:c>
      <x:c r="Z355" s="142" t="n">
        <x:v>97461.86</x:v>
      </x:c>
      <x:c r="AA355" s="142" t="n">
        <x:v>13638.681983156723</x:v>
      </x:c>
      <x:c r="AB355" s="142" t="n">
        <x:v>13436.976410391235</x:v>
      </x:c>
    </x:row>
    <x:row r="356">
      <x:c r="V356" s="141" t="n">
        <x:v>45646</x:v>
      </x:c>
      <x:c r="W356" s="142" t="n">
        <x:v>97461.86</x:v>
      </x:c>
      <x:c r="X356" s="142" t="n">
        <x:v>98233</x:v>
      </x:c>
      <x:c r="Y356" s="142" t="n">
        <x:v>92232.54</x:v>
      </x:c>
      <x:c r="Z356" s="142" t="n">
        <x:v>97805.44</x:v>
      </x:c>
      <x:c r="AA356" s="142" t="n">
        <x:v>13693.619631851583</x:v>
      </x:c>
      <x:c r="AB356" s="142" t="n">
        <x:v>13492.315778364691</x:v>
      </x:c>
    </x:row>
    <x:row r="357">
      <x:c r="V357" s="141" t="n">
        <x:v>45647</x:v>
      </x:c>
      <x:c r="W357" s="142" t="n">
        <x:v>97805.44</x:v>
      </x:c>
      <x:c r="X357" s="142" t="n">
        <x:v>99540.61</x:v>
      </x:c>
      <x:c r="Y357" s="142" t="n">
        <x:v>96398.39</x:v>
      </x:c>
      <x:c r="Z357" s="142" t="n">
        <x:v>97291.99</x:v>
      </x:c>
      <x:c r="AA357" s="142" t="n">
        <x:v>13611.520162376131</x:v>
      </x:c>
      <x:c r="AB357" s="142" t="n">
        <x:v>13409.61597486632</x:v>
      </x:c>
    </x:row>
    <x:row r="358">
      <x:c r="V358" s="141" t="n">
        <x:v>45648</x:v>
      </x:c>
      <x:c r="W358" s="142" t="n">
        <x:v>97292</x:v>
      </x:c>
      <x:c r="X358" s="142" t="n">
        <x:v>97448.08</x:v>
      </x:c>
      <x:c r="Y358" s="142" t="n">
        <x:v>94250.35</x:v>
      </x:c>
      <x:c r="Z358" s="142" t="n">
        <x:v>95186.27</x:v>
      </x:c>
      <x:c r="AA358" s="142" t="n">
        <x:v>13274.820396354422</x:v>
      </x:c>
      <x:c r="AB358" s="142" t="n">
        <x:v>13070.454167051352</x:v>
      </x:c>
    </x:row>
    <x:row r="359">
      <x:c r="V359" s="141" t="n">
        <x:v>45649</x:v>
      </x:c>
      <x:c r="W359" s="142" t="n">
        <x:v>95186.28</x:v>
      </x:c>
      <x:c r="X359" s="142" t="n">
        <x:v>96538.92</x:v>
      </x:c>
      <x:c r="Y359" s="142" t="n">
        <x:v>92520</x:v>
      </x:c>
      <x:c r="Z359" s="142" t="n">
        <x:v>94881.47</x:v>
      </x:c>
      <x:c r="AA359" s="142" t="n">
        <x:v>13226.083580118922</x:v>
      </x:c>
      <x:c r="AB359" s="142" t="n">
        <x:v>13021.36097373885</x:v>
      </x:c>
    </x:row>
    <x:row r="360">
      <x:c r="V360" s="141" t="n">
        <x:v>45650</x:v>
      </x:c>
      <x:c r="W360" s="142" t="n">
        <x:v>94881.47</x:v>
      </x:c>
      <x:c r="X360" s="142" t="n">
        <x:v>99487.99</x:v>
      </x:c>
      <x:c r="Y360" s="142" t="n">
        <x:v>93569.02</x:v>
      </x:c>
      <x:c r="Z360" s="142" t="n">
        <x:v>98663.58</x:v>
      </x:c>
      <x:c r="AA360" s="142" t="n">
        <x:v>13830.83423645897</x:v>
      </x:c>
      <x:c r="AB360" s="142" t="n">
        <x:v>13630.533734103505</x:v>
      </x:c>
    </x:row>
    <x:row r="361">
      <x:c r="V361" s="141" t="n">
        <x:v>45651</x:v>
      </x:c>
      <x:c r="W361" s="142" t="n">
        <x:v>98663.58</x:v>
      </x:c>
      <x:c r="X361" s="142" t="n">
        <x:v>99569.15</x:v>
      </x:c>
      <x:c r="Y361" s="142" t="n">
        <x:v>97632.02</x:v>
      </x:c>
      <x:c r="Z361" s="142" t="n">
        <x:v>99429.6</x:v>
      </x:c>
      <x:c r="AA361" s="142" t="n">
        <x:v>13953.319065765787</x:v>
      </x:c>
      <x:c r="AB361" s="142" t="n">
        <x:v>13753.914206351677</x:v>
      </x:c>
    </x:row>
    <x:row r="362">
      <x:c r="V362" s="141" t="n">
        <x:v>45652</x:v>
      </x:c>
      <x:c r="W362" s="142" t="n">
        <x:v>99429.61</x:v>
      </x:c>
      <x:c r="X362" s="142" t="n">
        <x:v>99963.7</x:v>
      </x:c>
      <x:c r="Y362" s="142" t="n">
        <x:v>95199.14</x:v>
      </x:c>
      <x:c r="Z362" s="142" t="n">
        <x:v>95791.6</x:v>
      </x:c>
      <x:c r="AA362" s="142" t="n">
        <x:v>13371.61126568459</x:v>
      </x:c>
      <x:c r="AB362" s="142" t="n">
        <x:v>13167.952797982642</x:v>
      </x:c>
    </x:row>
    <x:row r="363">
      <x:c r="V363" s="141" t="n">
        <x:v>45653</x:v>
      </x:c>
      <x:c r="W363" s="142" t="n">
        <x:v>95791.6</x:v>
      </x:c>
      <x:c r="X363" s="142" t="n">
        <x:v>97544.58</x:v>
      </x:c>
      <x:c r="Y363" s="142" t="n">
        <x:v>93500.01</x:v>
      </x:c>
      <x:c r="Z363" s="142" t="n">
        <x:v>94299.03</x:v>
      </x:c>
      <x:c r="AA363" s="142" t="n">
        <x:v>13132.952768937148</x:v>
      </x:c>
      <x:c r="AB363" s="142" t="n">
        <x:v>12927.549164313214</x:v>
      </x:c>
    </x:row>
    <x:row r="364">
      <x:c r="V364" s="141" t="n">
        <x:v>45654</x:v>
      </x:c>
      <x:c r="W364" s="142" t="n">
        <x:v>94299.03</x:v>
      </x:c>
      <x:c r="X364" s="142" t="n">
        <x:v>95733.99</x:v>
      </x:c>
      <x:c r="Y364" s="142" t="n">
        <x:v>94135.66</x:v>
      </x:c>
      <x:c r="Z364" s="142" t="n">
        <x:v>95300</x:v>
      </x:c>
      <x:c r="AA364" s="142" t="n">
        <x:v>13293.00556075883</x:v>
      </x:c>
      <x:c r="AB364" s="142" t="n">
        <x:v>13088.77230640644</x:v>
      </x:c>
    </x:row>
    <x:row r="365">
      <x:c r="V365" s="141" t="n">
        <x:v>45655</x:v>
      </x:c>
      <x:c r="W365" s="142" t="n">
        <x:v>95300</x:v>
      </x:c>
      <x:c r="X365" s="142" t="n">
        <x:v>95340</x:v>
      </x:c>
      <x:c r="Y365" s="142" t="n">
        <x:v>93009.52</x:v>
      </x:c>
      <x:c r="Z365" s="142" t="n">
        <x:v>93738.2</x:v>
      </x:c>
      <x:c r="AA365" s="142" t="n">
        <x:v>13043.27734685921</x:v>
      </x:c>
      <x:c r="AB365" s="142" t="n">
        <x:v>12837.218010752023</x:v>
      </x:c>
    </x:row>
    <x:row r="366">
      <x:c r="V366" s="141" t="n">
        <x:v>45656</x:v>
      </x:c>
      <x:c r="W366" s="142" t="n">
        <x:v>93738.19</x:v>
      </x:c>
      <x:c r="X366" s="142" t="n">
        <x:v>95024.5</x:v>
      </x:c>
      <x:c r="Y366" s="142" t="n">
        <x:v>91530.45</x:v>
      </x:c>
      <x:c r="Z366" s="142" t="n">
        <x:v>92792.05</x:v>
      </x:c>
      <x:c r="AA366" s="142" t="n">
        <x:v>12891.990146461514</x:v>
      </x:c>
      <x:c r="AB366" s="142" t="n">
        <x:v>12684.824556511132</x:v>
      </x:c>
    </x:row>
    <x:row r="367">
      <x:c r="V367" s="141" t="n">
        <x:v>45657</x:v>
      </x:c>
      <x:c r="W367" s="142" t="n">
        <x:v>92792.05</x:v>
      </x:c>
      <x:c r="X367" s="142" t="n">
        <x:v>96250</x:v>
      </x:c>
      <x:c r="Y367" s="142" t="n">
        <x:v>92033.73</x:v>
      </x:c>
      <x:c r="Z367" s="142" t="n">
        <x:v>93576</x:v>
      </x:c>
      <x:c r="AA367" s="142" t="n">
        <x:v>13017.34194136906</x:v>
      </x:c>
      <x:c r="AB367" s="142" t="n">
        <x:v>12811.09295840528</x:v>
      </x:c>
    </x:row>
    <x:row r="368">
      <x:c r="V368" s="141" t="n">
        <x:v>45658</x:v>
      </x:c>
      <x:c r="W368" s="142" t="n">
        <x:v>93576</x:v>
      </x:c>
      <x:c r="X368" s="142" t="n">
        <x:v>95151.15</x:v>
      </x:c>
      <x:c r="Y368" s="142" t="n">
        <x:v>92888</x:v>
      </x:c>
      <x:c r="Z368" s="142" t="n">
        <x:v>94591.79</x:v>
      </x:c>
      <x:c r="AA368" s="142" t="n">
        <x:v>13179.76441697227</x:v>
      </x:c>
      <x:c r="AB368" s="142" t="n">
        <x:v>12974.703112063107</x:v>
      </x:c>
    </x:row>
    <x:row r="369">
      <x:c r="V369" s="141" t="n">
        <x:v>45659</x:v>
      </x:c>
      <x:c r="W369" s="142" t="n">
        <x:v>94591.78</x:v>
      </x:c>
      <x:c r="X369" s="142" t="n">
        <x:v>97839.5</x:v>
      </x:c>
      <x:c r="Y369" s="142" t="n">
        <x:v>94392</x:v>
      </x:c>
      <x:c r="Z369" s="142" t="n">
        <x:v>96984.79</x:v>
      </x:c>
      <x:c r="AA369" s="142" t="n">
        <x:v>13562.399591682082</x:v>
      </x:c>
      <x:c r="AB369" s="142" t="n">
        <x:v>13360.13622097655</x:v>
      </x:c>
    </x:row>
    <x:row r="370">
      <x:c r="V370" s="141" t="n">
        <x:v>45660</x:v>
      </x:c>
      <x:c r="W370" s="142" t="n">
        <x:v>96984.79</x:v>
      </x:c>
      <x:c r="X370" s="142" t="n">
        <x:v>98976.91</x:v>
      </x:c>
      <x:c r="Y370" s="142" t="n">
        <x:v>96100.01</x:v>
      </x:c>
      <x:c r="Z370" s="142" t="n">
        <x:v>98174.18</x:v>
      </x:c>
      <x:c r="AA370" s="142" t="n">
        <x:v>13752.580306453543</x:v>
      </x:c>
      <x:c r="AB370" s="142" t="n">
        <x:v>13551.707589723128</x:v>
      </x:c>
    </x:row>
    <x:row r="371">
      <x:c r="V371" s="141" t="n">
        <x:v>45661</x:v>
      </x:c>
      <x:c r="W371" s="142" t="n">
        <x:v>98174.17</x:v>
      </x:c>
      <x:c r="X371" s="142" t="n">
        <x:v>98778.43</x:v>
      </x:c>
      <x:c r="Y371" s="142" t="n">
        <x:v>97514.79</x:v>
      </x:c>
      <x:c r="Z371" s="142" t="n">
        <x:v>98220.5</x:v>
      </x:c>
      <x:c r="AA371" s="142" t="n">
        <x:v>13759.986767503506</x:v>
      </x:c>
      <x:c r="AB371" s="142" t="n">
        <x:v>13559.168208864321</x:v>
      </x:c>
    </x:row>
    <x:row r="372">
      <x:c r="V372" s="141" t="n">
        <x:v>45662</x:v>
      </x:c>
      <x:c r="W372" s="142" t="n">
        <x:v>98220.51</x:v>
      </x:c>
      <x:c r="X372" s="142" t="n">
        <x:v>98836.85</x:v>
      </x:c>
      <x:c r="Y372" s="142" t="n">
        <x:v>97276.79</x:v>
      </x:c>
      <x:c r="Z372" s="142" t="n">
        <x:v>98363.61</x:v>
      </x:c>
      <x:c r="AA372" s="142" t="n">
        <x:v>13782.869726071296</x:v>
      </x:c>
      <x:c r="AB372" s="142" t="n">
        <x:v>13582.218493952747</x:v>
      </x:c>
    </x:row>
    <x:row r="373">
      <x:c r="V373" s="141" t="n">
        <x:v>45663</x:v>
      </x:c>
      <x:c r="W373" s="142" t="n">
        <x:v>98363.61</x:v>
      </x:c>
      <x:c r="X373" s="142" t="n">
        <x:v>102480</x:v>
      </x:c>
      <x:c r="Y373" s="142" t="n">
        <x:v>97920</x:v>
      </x:c>
      <x:c r="Z373" s="142" t="n">
        <x:v>102235.6</x:v>
      </x:c>
      <x:c r="AA373" s="142" t="n">
        <x:v>14401.991986883939</x:v>
      </x:c>
      <x:c r="AB373" s="142" t="n">
        <x:v>14205.86794793593</x:v>
      </x:c>
    </x:row>
    <x:row r="374">
      <x:c r="V374" s="141" t="n">
        <x:v>45664</x:v>
      </x:c>
      <x:c r="W374" s="142" t="n">
        <x:v>102235.6</x:v>
      </x:c>
      <x:c r="X374" s="142" t="n">
        <x:v>102724.38</x:v>
      </x:c>
      <x:c r="Y374" s="142" t="n">
        <x:v>96181.81</x:v>
      </x:c>
      <x:c r="Z374" s="142" t="n">
        <x:v>96954.61</x:v>
      </x:c>
      <x:c r="AA374" s="142" t="n">
        <x:v>13557.573879365853</x:v>
      </x:c>
      <x:c r="AB374" s="142" t="n">
        <x:v>13355.27522171746</x:v>
      </x:c>
    </x:row>
    <x:row r="375">
      <x:c r="V375" s="141" t="n">
        <x:v>45665</x:v>
      </x:c>
      <x:c r="W375" s="142" t="n">
        <x:v>96954.6</x:v>
      </x:c>
      <x:c r="X375" s="142" t="n">
        <x:v>97268.65</x:v>
      </x:c>
      <x:c r="Y375" s="142" t="n">
        <x:v>92500.9</x:v>
      </x:c>
      <x:c r="Z375" s="142" t="n">
        <x:v>95060.61</x:v>
      </x:c>
      <x:c r="AA375" s="142" t="n">
        <x:v>13254.727652495652</x:v>
      </x:c>
      <x:c r="AB375" s="142" t="n">
        <x:v>13050.214499493448</x:v>
      </x:c>
    </x:row>
    <x:row r="376">
      <x:c r="V376" s="141" t="n">
        <x:v>45666</x:v>
      </x:c>
      <x:c r="W376" s="142" t="n">
        <x:v>95060.61</x:v>
      </x:c>
      <x:c r="X376" s="142" t="n">
        <x:v>95382.32</x:v>
      </x:c>
      <x:c r="Y376" s="142" t="n">
        <x:v>91203.67</x:v>
      </x:c>
      <x:c r="Z376" s="142" t="n">
        <x:v>92552.49</x:v>
      </x:c>
      <x:c r="AA376" s="142" t="n">
        <x:v>12853.685055590857</x:v>
      </x:c>
      <x:c r="AB376" s="142" t="n">
        <x:v>12646.23936822392</x:v>
      </x:c>
    </x:row>
    <x:row r="377">
      <x:c r="V377" s="141" t="n">
        <x:v>45667</x:v>
      </x:c>
      <x:c r="W377" s="142" t="n">
        <x:v>92552.49</x:v>
      </x:c>
      <x:c r="X377" s="142" t="n">
        <x:v>95836</x:v>
      </x:c>
      <x:c r="Y377" s="142" t="n">
        <x:v>92206.02</x:v>
      </x:c>
      <x:c r="Z377" s="142" t="n">
        <x:v>94726.11</x:v>
      </x:c>
      <x:c r="AA377" s="142" t="n">
        <x:v>12838.886126137877</x:v>
      </x:c>
      <x:c r="AB377" s="142" t="n">
        <x:v>12996.337619037306</x:v>
      </x:c>
    </x:row>
    <x:row r="378">
      <x:c r="V378" s="141" t="n">
        <x:v>45668</x:v>
      </x:c>
      <x:c r="W378" s="142" t="n">
        <x:v>94726.1</x:v>
      </x:c>
      <x:c r="X378" s="142" t="n">
        <x:v>95050.94</x:v>
      </x:c>
      <x:c r="Y378" s="142" t="n">
        <x:v>93831.73</x:v>
      </x:c>
      <x:c r="Z378" s="142" t="n">
        <x:v>94599.99</x:v>
      </x:c>
      <x:c r="AA378" s="142" t="n">
        <x:v>12838.886126137877</x:v>
      </x:c>
      <x:c r="AB378" s="142" t="n">
        <x:v>12976.023860702095</x:v>
      </x:c>
    </x:row>
    <x:row r="379">
      <x:c r="V379" s="141" t="n">
        <x:v>45669</x:v>
      </x:c>
      <x:c r="W379" s="142" t="n">
        <x:v>94599.99</x:v>
      </x:c>
      <x:c r="X379" s="142" t="n">
        <x:v>95450.1</x:v>
      </x:c>
      <x:c r="Y379" s="142" t="n">
        <x:v>93711.19</x:v>
      </x:c>
      <x:c r="Z379" s="142" t="n">
        <x:v>94545.06</x:v>
      </x:c>
      <x:c r="AA379" s="142" t="n">
        <x:v>12838.886126137877</x:v>
      </x:c>
      <x:c r="AB379" s="142" t="n">
        <x:v>12967.176455489967</x:v>
      </x:c>
    </x:row>
    <x:row r="380">
      <x:c r="V380" s="141" t="n">
        <x:v>45670</x:v>
      </x:c>
      <x:c r="W380" s="142" t="n">
        <x:v>94545.07</x:v>
      </x:c>
      <x:c r="X380" s="142" t="n">
        <x:v>95940</x:v>
      </x:c>
      <x:c r="Y380" s="142" t="n">
        <x:v>89256.69</x:v>
      </x:c>
      <x:c r="Z380" s="142" t="n">
        <x:v>94536.1</x:v>
      </x:c>
      <x:c r="AA380" s="142" t="n">
        <x:v>12838.886126137877</x:v>
      </x:c>
      <x:c r="AB380" s="142" t="n">
        <x:v>12965.73329600152</x:v>
      </x:c>
    </x:row>
    <x:row r="381">
      <x:c r="V381" s="141" t="n">
        <x:v>45671</x:v>
      </x:c>
      <x:c r="W381" s="142" t="n">
        <x:v>94536.11</x:v>
      </x:c>
      <x:c r="X381" s="142" t="n">
        <x:v>97371</x:v>
      </x:c>
      <x:c r="Y381" s="142" t="n">
        <x:v>94346.22</x:v>
      </x:c>
      <x:c r="Z381" s="142" t="n">
        <x:v>96560.86</x:v>
      </x:c>
      <x:c r="AA381" s="142" t="n">
        <x:v>12838.886126137877</x:v>
      </x:c>
      <x:c r="AB381" s="142" t="n">
        <x:v>13291.855127010118</x:v>
      </x:c>
    </x:row>
    <x:row r="382">
      <x:c r="V382" s="141" t="n">
        <x:v>45672</x:v>
      </x:c>
      <x:c r="W382" s="142" t="n">
        <x:v>96560.85</x:v>
      </x:c>
      <x:c r="X382" s="142" t="n">
        <x:v>100681.94</x:v>
      </x:c>
      <x:c r="Y382" s="142" t="n">
        <x:v>96500</x:v>
      </x:c>
      <x:c r="Z382" s="142" t="n">
        <x:v>100497.35</x:v>
      </x:c>
      <x:c r="AA382" s="142" t="n">
        <x:v>13236.556522577013</x:v>
      </x:c>
      <x:c r="AB382" s="142" t="n">
        <x:v>13925.893396507268</x:v>
      </x:c>
    </x:row>
    <x:row r="383">
      <x:c r="V383" s="141" t="n">
        <x:v>45673</x:v>
      </x:c>
      <x:c r="W383" s="142" t="n">
        <x:v>100497.35</x:v>
      </x:c>
      <x:c r="X383" s="142" t="n">
        <x:v>100866.66</x:v>
      </x:c>
      <x:c r="Y383" s="142" t="n">
        <x:v>97335.13</x:v>
      </x:c>
      <x:c r="Z383" s="142" t="n">
        <x:v>99987.3</x:v>
      </x:c>
      <x:c r="AA383" s="142" t="n">
        <x:v>13183.734908019975</x:v>
      </x:c>
      <x:c r="AB383" s="142" t="n">
        <x:v>13843.741220493352</x:v>
      </x:c>
    </x:row>
    <x:row r="384">
      <x:c r="V384" s="141" t="n">
        <x:v>45674</x:v>
      </x:c>
      <x:c r="W384" s="142" t="n">
        <x:v>99987.3</x:v>
      </x:c>
      <x:c r="X384" s="142" t="n">
        <x:v>105865.22</x:v>
      </x:c>
      <x:c r="Y384" s="142" t="n">
        <x:v>99950.77</x:v>
      </x:c>
      <x:c r="Z384" s="142" t="n">
        <x:v>104077.48</x:v>
      </x:c>
      <x:c r="AA384" s="142" t="n">
        <x:v>13607.32065731692</x:v>
      </x:c>
      <x:c r="AB384" s="142" t="n">
        <x:v>14502.533862957029</x:v>
      </x:c>
    </x:row>
    <x:row r="385">
      <x:c r="V385" s="141" t="n">
        <x:v>45675</x:v>
      </x:c>
      <x:c r="W385" s="142" t="n">
        <x:v>104077.47</x:v>
      </x:c>
      <x:c r="X385" s="142" t="n">
        <x:v>104988.88</x:v>
      </x:c>
      <x:c r="Y385" s="142" t="n">
        <x:v>102277.55</x:v>
      </x:c>
      <x:c r="Z385" s="142" t="n">
        <x:v>104556.23</x:v>
      </x:c>
      <x:c r="AA385" s="142" t="n">
        <x:v>13656.900792537353</x:v>
      </x:c>
      <x:c r="AB385" s="142" t="n">
        <x:v>14579.644644775797</x:v>
      </x:c>
    </x:row>
    <x:row r="386">
      <x:c r="V386" s="141" t="n">
        <x:v>45676</x:v>
      </x:c>
      <x:c r="W386" s="142" t="n">
        <x:v>104556.23</x:v>
      </x:c>
      <x:c r="X386" s="142" t="n">
        <x:v>106422.43</x:v>
      </x:c>
      <x:c r="Y386" s="142" t="n">
        <x:v>99651.6</x:v>
      </x:c>
      <x:c r="Z386" s="142" t="n">
        <x:v>101331.57</x:v>
      </x:c>
      <x:c r="AA386" s="142" t="n">
        <x:v>13322.949714020544</x:v>
      </x:c>
      <x:c r="AB386" s="142" t="n">
        <x:v>14060.258631826018</x:v>
      </x:c>
    </x:row>
    <x:row r="387">
      <x:c r="V387" s="141" t="n">
        <x:v>45677</x:v>
      </x:c>
      <x:c r="W387" s="142" t="n">
        <x:v>101331.57</x:v>
      </x:c>
      <x:c r="X387" s="142" t="n">
        <x:v>109588</x:v>
      </x:c>
      <x:c r="Y387" s="142" t="n">
        <x:v>99550</x:v>
      </x:c>
      <x:c r="Z387" s="142" t="n">
        <x:v>102260.01</x:v>
      </x:c>
      <x:c r="AA387" s="142" t="n">
        <x:v>13419.100483198734</x:v>
      </x:c>
      <x:c r="AB387" s="142" t="n">
        <x:v>14209.799591140516</x:v>
      </x:c>
    </x:row>
    <x:row r="388">
      <x:c r="V388" s="141" t="n">
        <x:v>45678</x:v>
      </x:c>
      <x:c r="W388" s="142" t="n">
        <x:v>102260</x:v>
      </x:c>
      <x:c r="X388" s="142" t="n">
        <x:v>107240.81</x:v>
      </x:c>
      <x:c r="Y388" s="142" t="n">
        <x:v>100119.04</x:v>
      </x:c>
      <x:c r="Z388" s="142" t="n">
        <x:v>106143.82</x:v>
      </x:c>
      <x:c r="AA388" s="142" t="n">
        <x:v>13821.31421681852</x:v>
      </x:c>
      <x:c r="AB388" s="142" t="n">
        <x:v>14835.352855966728</x:v>
      </x:c>
    </x:row>
    <x:row r="389">
      <x:c r="V389" s="141" t="n">
        <x:v>45679</x:v>
      </x:c>
      <x:c r="W389" s="142" t="n">
        <x:v>106143.82</x:v>
      </x:c>
      <x:c r="X389" s="142" t="n">
        <x:v>106394.46</x:v>
      </x:c>
      <x:c r="Y389" s="142" t="n">
        <x:v>103339.12</x:v>
      </x:c>
      <x:c r="Z389" s="142" t="n">
        <x:v>103706.66</x:v>
      </x:c>
      <x:c r="AA389" s="142" t="n">
        <x:v>13568.917929917567</x:v>
      </x:c>
      <x:c r="AB389" s="142" t="n">
        <x:v>14442.80703243163</x:v>
      </x:c>
    </x:row>
    <x:row r="390">
      <x:c r="V390" s="141" t="n">
        <x:v>45680</x:v>
      </x:c>
      <x:c r="W390" s="142" t="n">
        <x:v>103706.66</x:v>
      </x:c>
      <x:c r="X390" s="142" t="n">
        <x:v>106850</x:v>
      </x:c>
      <x:c r="Y390" s="142" t="n">
        <x:v>101262.28</x:v>
      </x:c>
      <x:c r="Z390" s="142" t="n">
        <x:v>103910.34</x:v>
      </x:c>
      <x:c r="AA390" s="142" t="n">
        <x:v>13590.011364782731</x:v>
      </x:c>
      <x:c r="AB390" s="142" t="n">
        <x:v>14475.61314008875</x:v>
      </x:c>
    </x:row>
    <x:row r="391">
      <x:c r="V391" s="141" t="n">
        <x:v>45681</x:v>
      </x:c>
      <x:c r="W391" s="142" t="n">
        <x:v>103910.35</x:v>
      </x:c>
      <x:c r="X391" s="142" t="n">
        <x:v>107120</x:v>
      </x:c>
      <x:c r="Y391" s="142" t="n">
        <x:v>102750</x:v>
      </x:c>
      <x:c r="Z391" s="142" t="n">
        <x:v>104870.5</x:v>
      </x:c>
      <x:c r="AA391" s="142" t="n">
        <x:v>13689.447109186389</x:v>
      </x:c>
      <x:c r="AB391" s="142" t="n">
        <x:v>14630.263141699419</x:v>
      </x:c>
    </x:row>
    <x:row r="392">
      <x:c r="V392" s="141" t="n">
        <x:v>45682</x:v>
      </x:c>
      <x:c r="W392" s="142" t="n">
        <x:v>104870.51</x:v>
      </x:c>
      <x:c r="X392" s="142" t="n">
        <x:v>105286.52</x:v>
      </x:c>
      <x:c r="Y392" s="142" t="n">
        <x:v>104106.09</x:v>
      </x:c>
      <x:c r="Z392" s="142" t="n">
        <x:v>104746.85</x:v>
      </x:c>
      <x:c r="AA392" s="142" t="n">
        <x:v>13676.6417123822</x:v>
      </x:c>
      <x:c r="AB392" s="142" t="n">
        <x:v>14610.347218624975</x:v>
      </x:c>
    </x:row>
    <x:row r="393">
      <x:c r="V393" s="141" t="n">
        <x:v>45683</x:v>
      </x:c>
      <x:c r="W393" s="142" t="n">
        <x:v>104746.86</x:v>
      </x:c>
      <x:c r="X393" s="142" t="n">
        <x:v>105500</x:v>
      </x:c>
      <x:c r="Y393" s="142" t="n">
        <x:v>102520.44</x:v>
      </x:c>
      <x:c r="Z393" s="142" t="n">
        <x:v>102620</x:v>
      </x:c>
      <x:c r="AA393" s="142" t="n">
        <x:v>13456.381638035296</x:v>
      </x:c>
      <x:c r="AB393" s="142" t="n">
        <x:v>14267.782067061016</x:v>
      </x:c>
    </x:row>
    <x:row r="394">
      <x:c r="V394" s="141" t="n">
        <x:v>45684</x:v>
      </x:c>
      <x:c r="W394" s="142" t="n">
        <x:v>102620.01</x:v>
      </x:c>
      <x:c r="X394" s="142" t="n">
        <x:v>103260</x:v>
      </x:c>
      <x:c r="Y394" s="142" t="n">
        <x:v>97777.77</x:v>
      </x:c>
      <x:c r="Z394" s="142" t="n">
        <x:v>102082.83</x:v>
      </x:c>
      <x:c r="AA394" s="142" t="n">
        <x:v>13400.75143179747</x:v>
      </x:c>
      <x:c r="AB394" s="142" t="n">
        <x:v>14181.261756524018</x:v>
      </x:c>
    </x:row>
    <x:row r="395">
      <x:c r="V395" s="141" t="n">
        <x:v>45685</x:v>
      </x:c>
      <x:c r="W395" s="142" t="n">
        <x:v>102082.83</x:v>
      </x:c>
      <x:c r="X395" s="142" t="n">
        <x:v>103800</x:v>
      </x:c>
      <x:c r="Y395" s="142" t="n">
        <x:v>100272.68</x:v>
      </x:c>
      <x:c r="Z395" s="142" t="n">
        <x:v>101335.52</x:v>
      </x:c>
      <x:c r="AA395" s="142" t="n">
        <x:v>13323.358782499125</x:v>
      </x:c>
      <x:c r="AB395" s="142" t="n">
        <x:v>14060.894846109433</x:v>
      </x:c>
    </x:row>
    <x:row r="396">
      <x:c r="V396" s="141" t="n">
        <x:v>45686</x:v>
      </x:c>
      <x:c r="W396" s="142" t="n">
        <x:v>101335.52</x:v>
      </x:c>
      <x:c r="X396" s="142" t="n">
        <x:v>104782.68</x:v>
      </x:c>
      <x:c r="Y396" s="142" t="n">
        <x:v>101328.01</x:v>
      </x:c>
      <x:c r="Z396" s="142" t="n">
        <x:v>103733.24</x:v>
      </x:c>
      <x:c r="AA396" s="142" t="n">
        <x:v>13571.670598312676</x:v>
      </x:c>
      <x:c r="AB396" s="142" t="n">
        <x:v>14447.088190824827</x:v>
      </x:c>
    </x:row>
    <x:row r="397">
      <x:c r="V397" s="141" t="n">
        <x:v>45687</x:v>
      </x:c>
      <x:c r="W397" s="142" t="n">
        <x:v>103733.25</x:v>
      </x:c>
      <x:c r="X397" s="142" t="n">
        <x:v>106457.44</x:v>
      </x:c>
      <x:c r="Y397" s="142" t="n">
        <x:v>103278.54</x:v>
      </x:c>
      <x:c r="Z397" s="142" t="n">
        <x:v>104722.94</x:v>
      </x:c>
      <x:c r="AA397" s="142" t="n">
        <x:v>13674.165553566281</x:v>
      </x:c>
      <x:c r="AB397" s="142" t="n">
        <x:v>14606.496108873984</x:v>
      </x:c>
    </x:row>
    <x:row r="398">
      <x:c r="V398" s="141" t="n">
        <x:v>45688</x:v>
      </x:c>
      <x:c r="W398" s="142" t="n">
        <x:v>104722.94</x:v>
      </x:c>
      <x:c r="X398" s="142" t="n">
        <x:v>106012</x:v>
      </x:c>
      <x:c r="Y398" s="142" t="n">
        <x:v>101560</x:v>
      </x:c>
      <x:c r="Z398" s="142" t="n">
        <x:v>102429.56</x:v>
      </x:c>
      <x:c r="AA398" s="142" t="n">
        <x:v>13436.659359285679</x:v>
      </x:c>
      <x:c r="AB398" s="142" t="n">
        <x:v>14237.108485255132</x:v>
      </x:c>
    </x:row>
    <x:row r="399">
      <x:c r="V399" s="141" t="n">
        <x:v>45689</x:v>
      </x:c>
      <x:c r="W399" s="142" t="n">
        <x:v>102429.56</x:v>
      </x:c>
      <x:c r="X399" s="142" t="n">
        <x:v>102783.71</x:v>
      </x:c>
      <x:c r="Y399" s="142" t="n">
        <x:v>100279.51</x:v>
      </x:c>
      <x:c r="Z399" s="142" t="n">
        <x:v>100635.65</x:v>
      </x:c>
      <x:c r="AA399" s="142" t="n">
        <x:v>13250.879097409359</x:v>
      </x:c>
      <x:c r="AB399" s="142" t="n">
        <x:v>13948.168949772093</x:v>
      </x:c>
    </x:row>
    <x:row r="400">
      <x:c r="V400" s="141" t="n">
        <x:v>45690</x:v>
      </x:c>
      <x:c r="W400" s="142" t="n">
        <x:v>100635.66</x:v>
      </x:c>
      <x:c r="X400" s="142" t="n">
        <x:v>101456.6</x:v>
      </x:c>
      <x:c r="Y400" s="142" t="n">
        <x:v>96150</x:v>
      </x:c>
      <x:c r="Z400" s="142" t="n">
        <x:v>97700.59</x:v>
      </x:c>
      <x:c r="AA400" s="142" t="n">
        <x:v>12946.919469879154</x:v>
      </x:c>
      <x:c r="AB400" s="142" t="n">
        <x:v>13475.427913145479</x:v>
      </x:c>
    </x:row>
    <x:row r="401">
      <x:c r="V401" s="141" t="n">
        <x:v>45691</x:v>
      </x:c>
      <x:c r="W401" s="142" t="n">
        <x:v>97700.59</x:v>
      </x:c>
      <x:c r="X401" s="142" t="n">
        <x:v>102500.01</x:v>
      </x:c>
      <x:c r="Y401" s="142" t="n">
        <x:v>91231</x:v>
      </x:c>
      <x:c r="Z401" s="142" t="n">
        <x:v>101328.52</x:v>
      </x:c>
      <x:c r="AA401" s="142" t="n">
        <x:v>12936.801436535414</x:v>
      </x:c>
      <x:c r="AB401" s="142" t="n">
        <x:v>14059.767377759079</x:v>
      </x:c>
    </x:row>
    <x:row r="402">
      <x:c r="V402" s="141" t="n">
        <x:v>45692</x:v>
      </x:c>
      <x:c r="W402" s="142" t="n">
        <x:v>101328.51</x:v>
      </x:c>
      <x:c r="X402" s="142" t="n">
        <x:v>101732.31</x:v>
      </x:c>
      <x:c r="Y402" s="142" t="n">
        <x:v>96150</x:v>
      </x:c>
      <x:c r="Z402" s="142" t="n">
        <x:v>97763.13</x:v>
      </x:c>
      <x:c r="AA402" s="142" t="n">
        <x:v>12574.93797777144</x:v>
      </x:c>
      <x:c r="AB402" s="142" t="n">
        <x:v>13485.501037521346</x:v>
      </x:c>
    </x:row>
    <x:row r="403">
      <x:c r="V403" s="141" t="n">
        <x:v>45693</x:v>
      </x:c>
      <x:c r="W403" s="142" t="n">
        <x:v>97763.14</x:v>
      </x:c>
      <x:c r="X403" s="142" t="n">
        <x:v>99149</x:v>
      </x:c>
      <x:c r="Y403" s="142" t="n">
        <x:v>96155</x:v>
      </x:c>
      <x:c r="Z403" s="142" t="n">
        <x:v>96612.43</x:v>
      </x:c>
      <x:c r="AA403" s="142" t="n">
        <x:v>12565.290827132394</x:v>
      </x:c>
      <x:c r="AB403" s="142" t="n">
        <x:v>13300.161347414072</x:v>
      </x:c>
    </x:row>
    <x:row r="404">
      <x:c r="V404" s="141" t="n">
        <x:v>45694</x:v>
      </x:c>
      <x:c r="W404" s="142" t="n">
        <x:v>96612.44</x:v>
      </x:c>
      <x:c r="X404" s="142" t="n">
        <x:v>99120</x:v>
      </x:c>
      <x:c r="Y404" s="142" t="n">
        <x:v>95676.64</x:v>
      </x:c>
      <x:c r="Z404" s="142" t="n">
        <x:v>96554.35</x:v>
      </x:c>
      <x:c r="AA404" s="142" t="n">
        <x:v>12565.290827132394</x:v>
      </x:c>
      <x:c r="AB404" s="142" t="n">
        <x:v>13290.80658144429</x:v>
      </x:c>
    </x:row>
    <x:row r="405">
      <x:c r="V405" s="141" t="n">
        <x:v>45695</x:v>
      </x:c>
      <x:c r="W405" s="142" t="n">
        <x:v>96554.35</x:v>
      </x:c>
      <x:c r="X405" s="142" t="n">
        <x:v>100137.99</x:v>
      </x:c>
      <x:c r="Y405" s="142" t="n">
        <x:v>95620.34</x:v>
      </x:c>
      <x:c r="Z405" s="142" t="n">
        <x:v>96506.8</x:v>
      </x:c>
      <x:c r="AA405" s="142" t="n">
        <x:v>12565.290827132394</x:v>
      </x:c>
      <x:c r="AB405" s="142" t="n">
        <x:v>13283.147850007252</x:v>
      </x:c>
    </x:row>
    <x:row r="406">
      <x:c r="V406" s="141" t="n">
        <x:v>45696</x:v>
      </x:c>
      <x:c r="W406" s="142" t="n">
        <x:v>96506.8</x:v>
      </x:c>
      <x:c r="X406" s="142" t="n">
        <x:v>96880</x:v>
      </x:c>
      <x:c r="Y406" s="142" t="n">
        <x:v>95688</x:v>
      </x:c>
      <x:c r="Z406" s="142" t="n">
        <x:v>96444.74</x:v>
      </x:c>
      <x:c r="AA406" s="142" t="n">
        <x:v>12565.290827132394</x:v>
      </x:c>
      <x:c r="AB406" s="142" t="n">
        <x:v>13273.152037746839</x:v>
      </x:c>
    </x:row>
    <x:row r="407">
      <x:c r="V407" s="141" t="n">
        <x:v>45697</x:v>
      </x:c>
      <x:c r="W407" s="142" t="n">
        <x:v>96444.75</x:v>
      </x:c>
      <x:c r="X407" s="142" t="n">
        <x:v>97323.09</x:v>
      </x:c>
      <x:c r="Y407" s="142" t="n">
        <x:v>94713</x:v>
      </x:c>
      <x:c r="Z407" s="142" t="n">
        <x:v>96462.75</x:v>
      </x:c>
      <x:c r="AA407" s="142" t="n">
        <x:v>12565.290827132394</x:v>
      </x:c>
      <x:c r="AB407" s="142" t="n">
        <x:v>13276.052852745388</x:v>
      </x:c>
    </x:row>
    <x:row r="408">
      <x:c r="V408" s="141" t="n">
        <x:v>45698</x:v>
      </x:c>
      <x:c r="W408" s="142" t="n">
        <x:v>96462.75</x:v>
      </x:c>
      <x:c r="X408" s="142" t="n">
        <x:v>98345</x:v>
      </x:c>
      <x:c r="Y408" s="142" t="n">
        <x:v>95256</x:v>
      </x:c>
      <x:c r="Z408" s="142" t="n">
        <x:v>97430.82</x:v>
      </x:c>
      <x:c r="AA408" s="142" t="n">
        <x:v>12565.290827132394</x:v>
      </x:c>
      <x:c r="AB408" s="142" t="n">
        <x:v>13431.976893591956</x:v>
      </x:c>
    </x:row>
    <x:row r="409">
      <x:c r="V409" s="141" t="n">
        <x:v>45699</x:v>
      </x:c>
      <x:c r="W409" s="142" t="n">
        <x:v>97430.82</x:v>
      </x:c>
      <x:c r="X409" s="142" t="n">
        <x:v>98478.42</x:v>
      </x:c>
      <x:c r="Y409" s="142" t="n">
        <x:v>94876.88</x:v>
      </x:c>
      <x:c r="Z409" s="142" t="n">
        <x:v>95778.2</x:v>
      </x:c>
      <x:c r="AA409" s="142" t="n">
        <x:v>12565.290827132394</x:v>
      </x:c>
      <x:c r="AB409" s="142" t="n">
        <x:v>13165.79450142625</x:v>
      </x:c>
    </x:row>
    <x:row r="410">
      <x:c r="V410" s="141" t="n">
        <x:v>45700</x:v>
      </x:c>
      <x:c r="W410" s="142" t="n">
        <x:v>95778.21</x:v>
      </x:c>
      <x:c r="X410" s="142" t="n">
        <x:v>98119.99</x:v>
      </x:c>
      <x:c r="Y410" s="142" t="n">
        <x:v>94088.23</x:v>
      </x:c>
      <x:c r="Z410" s="142" t="n">
        <x:v>97869.99</x:v>
      </x:c>
      <x:c r="AA410" s="142" t="n">
        <x:v>12565.290827132394</x:v>
      </x:c>
      <x:c r="AB410" s="142" t="n">
        <x:v>13502.712647224016</x:v>
      </x:c>
    </x:row>
    <x:row r="411">
      <x:c r="V411" s="141" t="n">
        <x:v>45701</x:v>
      </x:c>
      <x:c r="W411" s="142" t="n">
        <x:v>97870</x:v>
      </x:c>
      <x:c r="X411" s="142" t="n">
        <x:v>98083.91</x:v>
      </x:c>
      <x:c r="Y411" s="142" t="n">
        <x:v>95217.36</x:v>
      </x:c>
      <x:c r="Z411" s="142" t="n">
        <x:v>96608.14</x:v>
      </x:c>
      <x:c r="AA411" s="142" t="n">
        <x:v>12565.290827132394</x:v>
      </x:c>
      <x:c r="AB411" s="142" t="n">
        <x:v>13299.470370382214</x:v>
      </x:c>
    </x:row>
    <x:row r="412">
      <x:c r="V412" s="141" t="n">
        <x:v>45702</x:v>
      </x:c>
      <x:c r="W412" s="142" t="n">
        <x:v>96608.13</x:v>
      </x:c>
      <x:c r="X412" s="142" t="n">
        <x:v>98826</x:v>
      </x:c>
      <x:c r="Y412" s="142" t="n">
        <x:v>96252.82</x:v>
      </x:c>
      <x:c r="Z412" s="142" t="n">
        <x:v>97500.48</x:v>
      </x:c>
      <x:c r="AA412" s="142" t="n">
        <x:v>12565.290827132394</x:v>
      </x:c>
      <x:c r="AB412" s="142" t="n">
        <x:v>13443.196814347037</x:v>
      </x:c>
    </x:row>
    <x:row r="413">
      <x:c r="V413" s="141" t="n">
        <x:v>45703</x:v>
      </x:c>
      <x:c r="W413" s="142" t="n">
        <x:v>97500.47</x:v>
      </x:c>
      <x:c r="X413" s="142" t="n">
        <x:v>97972.26</x:v>
      </x:c>
      <x:c r="Y413" s="142" t="n">
        <x:v>97223.58</x:v>
      </x:c>
      <x:c r="Z413" s="142" t="n">
        <x:v>97569.66</x:v>
      </x:c>
      <x:c r="AA413" s="142" t="n">
        <x:v>12565.290827132394</x:v>
      </x:c>
      <x:c r="AB413" s="142" t="n">
        <x:v>13454.339422986668</x:v>
      </x:c>
    </x:row>
    <x:row r="414">
      <x:c r="V414" s="141" t="n">
        <x:v>45704</x:v>
      </x:c>
      <x:c r="W414" s="142" t="n">
        <x:v>97569.67</x:v>
      </x:c>
      <x:c r="X414" s="142" t="n">
        <x:v>97704.47</x:v>
      </x:c>
      <x:c r="Y414" s="142" t="n">
        <x:v>96046.18</x:v>
      </x:c>
      <x:c r="Z414" s="142" t="n">
        <x:v>96118.12</x:v>
      </x:c>
      <x:c r="AA414" s="142" t="n">
        <x:v>12565.290827132394</x:v>
      </x:c>
      <x:c r="AB414" s="142" t="n">
        <x:v>13220.544364519377</x:v>
      </x:c>
    </x:row>
    <x:row r="415">
      <x:c r="V415" s="141" t="n">
        <x:v>45705</x:v>
      </x:c>
      <x:c r="W415" s="142" t="n">
        <x:v>96118.12</x:v>
      </x:c>
      <x:c r="X415" s="142" t="n">
        <x:v>97046.59</x:v>
      </x:c>
      <x:c r="Y415" s="142" t="n">
        <x:v>95205</x:v>
      </x:c>
      <x:c r="Z415" s="142" t="n">
        <x:v>95780</x:v>
      </x:c>
      <x:c r="AA415" s="142" t="n">
        <x:v>12565.290827132394</x:v>
      </x:c>
      <x:c r="AB415" s="142" t="n">
        <x:v>13166.0844218592</x:v>
      </x:c>
    </x:row>
    <x:row r="416">
      <x:c r="V416" s="141" t="n">
        <x:v>45706</x:v>
      </x:c>
      <x:c r="W416" s="142" t="n">
        <x:v>95780.01</x:v>
      </x:c>
      <x:c r="X416" s="142" t="n">
        <x:v>96753.91</x:v>
      </x:c>
      <x:c r="Y416" s="142" t="n">
        <x:v>93388.09</x:v>
      </x:c>
      <x:c r="Z416" s="142" t="n">
        <x:v>95671.74</x:v>
      </x:c>
      <x:c r="AA416" s="142" t="n">
        <x:v>12565.290827132394</x:v>
      </x:c>
      <x:c r="AB416" s="142" t="n">
        <x:v>13148.647318486459</x:v>
      </x:c>
    </x:row>
    <x:row r="417">
      <x:c r="V417" s="141" t="n">
        <x:v>45707</x:v>
      </x:c>
      <x:c r="W417" s="142" t="n">
        <x:v>95671.74</x:v>
      </x:c>
      <x:c r="X417" s="142" t="n">
        <x:v>96899.99</x:v>
      </x:c>
      <x:c r="Y417" s="142" t="n">
        <x:v>95029.99</x:v>
      </x:c>
      <x:c r="Z417" s="142" t="n">
        <x:v>96644.37</x:v>
      </x:c>
      <x:c r="AA417" s="142" t="n">
        <x:v>12565.290827132394</x:v>
      </x:c>
      <x:c r="AB417" s="142" t="n">
        <x:v>13305.305824429826</x:v>
      </x:c>
    </x:row>
    <x:row r="418">
      <x:c r="V418" s="141" t="n">
        <x:v>45708</x:v>
      </x:c>
      <x:c r="W418" s="142" t="n">
        <x:v>96644.37</x:v>
      </x:c>
      <x:c r="X418" s="142" t="n">
        <x:v>98711.36</x:v>
      </x:c>
      <x:c r="Y418" s="142" t="n">
        <x:v>96415.09</x:v>
      </x:c>
      <x:c r="Z418" s="142" t="n">
        <x:v>98305</x:v>
      </x:c>
      <x:c r="AA418" s="142" t="n">
        <x:v>12565.290827132394</x:v>
      </x:c>
      <x:c r="AB418" s="142" t="n">
        <x:v>13572.77836252215</x:v>
      </x:c>
    </x:row>
    <x:row r="419">
      <x:c r="V419" s="141" t="n">
        <x:v>45709</x:v>
      </x:c>
      <x:c r="W419" s="142" t="n">
        <x:v>98305.01</x:v>
      </x:c>
      <x:c r="X419" s="142" t="n">
        <x:v>99475</x:v>
      </x:c>
      <x:c r="Y419" s="142" t="n">
        <x:v>94871.95</x:v>
      </x:c>
      <x:c r="Z419" s="142" t="n">
        <x:v>96181.98</x:v>
      </x:c>
      <x:c r="AA419" s="142" t="n">
        <x:v>12565.290827132394</x:v>
      </x:c>
      <x:c r="AB419" s="142" t="n">
        <x:v>13230.83009721274</x:v>
      </x:c>
    </x:row>
    <x:row r="420">
      <x:c r="V420" s="141" t="n">
        <x:v>45710</x:v>
      </x:c>
      <x:c r="W420" s="142" t="n">
        <x:v>96181.99</x:v>
      </x:c>
      <x:c r="X420" s="142" t="n">
        <x:v>96980</x:v>
      </x:c>
      <x:c r="Y420" s="142" t="n">
        <x:v>95770.49</x:v>
      </x:c>
      <x:c r="Z420" s="142" t="n">
        <x:v>96551.01</x:v>
      </x:c>
      <x:c r="AA420" s="142" t="n">
        <x:v>12565.290827132394</x:v>
      </x:c>
      <x:c r="AB420" s="142" t="n">
        <x:v>13290.268617974263</x:v>
      </x:c>
    </x:row>
    <x:row r="421">
      <x:c r="V421" s="141" t="n">
        <x:v>45711</x:v>
      </x:c>
      <x:c r="W421" s="142" t="n">
        <x:v>96551.01</x:v>
      </x:c>
      <x:c r="X421" s="142" t="n">
        <x:v>96650</x:v>
      </x:c>
      <x:c r="Y421" s="142" t="n">
        <x:v>95227.94</x:v>
      </x:c>
      <x:c r="Z421" s="142" t="n">
        <x:v>96258</x:v>
      </x:c>
      <x:c r="AA421" s="142" t="n">
        <x:v>12565.290827132394</x:v>
      </x:c>
      <x:c r="AB421" s="142" t="n">
        <x:v>13243.07440349757</x:v>
      </x:c>
    </x:row>
    <x:row r="422">
      <x:c r="V422" s="141" t="n">
        <x:v>45712</x:v>
      </x:c>
      <x:c r="W422" s="142" t="n">
        <x:v>96258</x:v>
      </x:c>
      <x:c r="X422" s="142" t="n">
        <x:v>96500</x:v>
      </x:c>
      <x:c r="Y422" s="142" t="n">
        <x:v>91349.26</x:v>
      </x:c>
      <x:c r="Z422" s="142" t="n">
        <x:v>91552.88</x:v>
      </x:c>
      <x:c r="AA422" s="142" t="n">
        <x:v>12565.290827132394</x:v>
      </x:c>
      <x:c r="AB422" s="142" t="n">
        <x:v>12485.235277124477</x:v>
      </x:c>
    </x:row>
    <x:row r="423">
      <x:c r="V423" s="141" t="n">
        <x:v>45713</x:v>
      </x:c>
      <x:c r="W423" s="142" t="n">
        <x:v>91552.88</x:v>
      </x:c>
      <x:c r="X423" s="142" t="n">
        <x:v>92540.69</x:v>
      </x:c>
      <x:c r="Y423" s="142" t="n">
        <x:v>86050.99</x:v>
      </x:c>
      <x:c r="Z423" s="142" t="n">
        <x:v>88680.4</x:v>
      </x:c>
      <x:c r="AA423" s="142" t="n">
        <x:v>12565.290827132394</x:v>
      </x:c>
      <x:c r="AB423" s="142" t="n">
        <x:v>12022.573807550012</x:v>
      </x:c>
    </x:row>
    <x:row r="424">
      <x:c r="V424" s="141" t="n">
        <x:v>45714</x:v>
      </x:c>
      <x:c r="W424" s="142" t="n">
        <x:v>88680.39</x:v>
      </x:c>
      <x:c r="X424" s="142" t="n">
        <x:v>89414.15</x:v>
      </x:c>
      <x:c r="Y424" s="142" t="n">
        <x:v>82256.01</x:v>
      </x:c>
      <x:c r="Z424" s="142" t="n">
        <x:v>84250.09</x:v>
      </x:c>
      <x:c r="AA424" s="142" t="n">
        <x:v>12565.290827132394</x:v>
      </x:c>
      <x:c r="AB424" s="142" t="n">
        <x:v>12008.288720734952</x:v>
      </x:c>
    </x:row>
    <x:row r="425">
      <x:c r="V425" s="141" t="n">
        <x:v>45715</x:v>
      </x:c>
      <x:c r="W425" s="142" t="n">
        <x:v>84250.09</x:v>
      </x:c>
      <x:c r="X425" s="142" t="n">
        <x:v>87078.46</x:v>
      </x:c>
      <x:c r="Y425" s="142" t="n">
        <x:v>82716.49</x:v>
      </x:c>
      <x:c r="Z425" s="142" t="n">
        <x:v>84708.58</x:v>
      </x:c>
      <x:c r="AA425" s="142" t="n">
        <x:v>12565.290827132394</x:v>
      </x:c>
      <x:c r="AB425" s="142" t="n">
        <x:v>12008.288720734952</x:v>
      </x:c>
    </x:row>
    <x:row r="426">
      <x:c r="V426" s="141" t="n">
        <x:v>45716</x:v>
      </x:c>
      <x:c r="W426" s="142" t="n">
        <x:v>84708.57</x:v>
      </x:c>
      <x:c r="X426" s="142" t="n">
        <x:v>85120</x:v>
      </x:c>
      <x:c r="Y426" s="142" t="n">
        <x:v>78258.52</x:v>
      </x:c>
      <x:c r="Z426" s="142" t="n">
        <x:v>84349.94</x:v>
      </x:c>
      <x:c r="AA426" s="142" t="n">
        <x:v>12565.290827132394</x:v>
      </x:c>
      <x:c r="AB426" s="142" t="n">
        <x:v>12008.288720734952</x:v>
      </x:c>
    </x:row>
    <x:row r="427">
      <x:c r="V427" s="141" t="n">
        <x:v>45717</x:v>
      </x:c>
      <x:c r="W427" s="142" t="n">
        <x:v>84349.95</x:v>
      </x:c>
      <x:c r="X427" s="142" t="n">
        <x:v>86558</x:v>
      </x:c>
      <x:c r="Y427" s="142" t="n">
        <x:v>83824.78</x:v>
      </x:c>
      <x:c r="Z427" s="142" t="n">
        <x:v>86064.53</x:v>
      </x:c>
      <x:c r="AA427" s="142" t="n">
        <x:v>12565.290827132394</x:v>
      </x:c>
      <x:c r="AB427" s="142" t="n">
        <x:v>12008.288720734952</x:v>
      </x:c>
    </x:row>
    <x:row r="428">
      <x:c r="V428" s="141" t="n">
        <x:v>45718</x:v>
      </x:c>
      <x:c r="W428" s="142" t="n">
        <x:v>86064.54</x:v>
      </x:c>
      <x:c r="X428" s="142" t="n">
        <x:v>95000</x:v>
      </x:c>
      <x:c r="Y428" s="142" t="n">
        <x:v>85050.6</x:v>
      </x:c>
      <x:c r="Z428" s="142" t="n">
        <x:v>94270</x:v>
      </x:c>
      <x:c r="AA428" s="142" t="n">
        <x:v>12565.290827132394</x:v>
      </x:c>
      <x:c r="AB428" s="142" t="n">
        <x:v>12008.288720734952</x:v>
      </x:c>
    </x:row>
    <x:row r="429">
      <x:c r="V429" s="141" t="n">
        <x:v>45719</x:v>
      </x:c>
      <x:c r="W429" s="142" t="n">
        <x:v>94269.99</x:v>
      </x:c>
      <x:c r="X429" s="142" t="n">
        <x:v>94416.46</x:v>
      </x:c>
      <x:c r="Y429" s="142" t="n">
        <x:v>85117.11</x:v>
      </x:c>
      <x:c r="Z429" s="142" t="n">
        <x:v>86220.61</x:v>
      </x:c>
      <x:c r="AA429" s="142" t="n">
        <x:v>12565.290827132394</x:v>
      </x:c>
      <x:c r="AB429" s="142" t="n">
        <x:v>12008.288720734952</x:v>
      </x:c>
    </x:row>
    <x:row r="430">
      <x:c r="V430" s="141" t="n">
        <x:v>45720</x:v>
      </x:c>
      <x:c r="W430" s="142" t="n">
        <x:v>86221.16</x:v>
      </x:c>
      <x:c r="X430" s="142" t="n">
        <x:v>88967.52</x:v>
      </x:c>
      <x:c r="Y430" s="142" t="n">
        <x:v>81500</x:v>
      </x:c>
      <x:c r="Z430" s="142" t="n">
        <x:v>87281.98</x:v>
      </x:c>
      <x:c r="AA430" s="142" t="n">
        <x:v>12565.290827132394</x:v>
      </x:c>
      <x:c r="AB430" s="142" t="n">
        <x:v>12008.288720734952</x:v>
      </x:c>
    </x:row>
    <x:row r="431">
      <x:c r="V431" s="141" t="n">
        <x:v>45721</x:v>
      </x:c>
      <x:c r="W431" s="142" t="n">
        <x:v>87281.98</x:v>
      </x:c>
      <x:c r="X431" s="142" t="n">
        <x:v>91000</x:v>
      </x:c>
      <x:c r="Y431" s="142" t="n">
        <x:v>86334.53</x:v>
      </x:c>
      <x:c r="Z431" s="142" t="n">
        <x:v>90606.01</x:v>
      </x:c>
      <x:c r="AA431" s="142" t="n">
        <x:v>12565.290827132394</x:v>
      </x:c>
      <x:c r="AB431" s="142" t="n">
        <x:v>12008.288720734952</x:v>
      </x:c>
    </x:row>
    <x:row r="432">
      <x:c r="V432" s="141" t="n">
        <x:v>45722</x:v>
      </x:c>
      <x:c r="W432" s="142" t="n">
        <x:v>90606</x:v>
      </x:c>
      <x:c r="X432" s="142" t="n">
        <x:v>92810.64</x:v>
      </x:c>
      <x:c r="Y432" s="142" t="n">
        <x:v>87836</x:v>
      </x:c>
      <x:c r="Z432" s="142" t="n">
        <x:v>89931.89</x:v>
      </x:c>
      <x:c r="AA432" s="142" t="n">
        <x:v>12565.290827132394</x:v>
      </x:c>
      <x:c r="AB432" s="142" t="n">
        <x:v>12008.288720734952</x:v>
      </x:c>
    </x:row>
    <x:row r="433">
      <x:c r="V433" s="141" t="n">
        <x:v>45723</x:v>
      </x:c>
      <x:c r="W433" s="142" t="n">
        <x:v>89931.88</x:v>
      </x:c>
      <x:c r="X433" s="142" t="n">
        <x:v>91283.02</x:v>
      </x:c>
      <x:c r="Y433" s="142" t="n">
        <x:v>84667.03</x:v>
      </x:c>
      <x:c r="Z433" s="142" t="n">
        <x:v>86801.75</x:v>
      </x:c>
      <x:c r="AA433" s="142" t="n">
        <x:v>12565.290827132394</x:v>
      </x:c>
      <x:c r="AB433" s="142" t="n">
        <x:v>12008.288720734952</x:v>
      </x:c>
    </x:row>
    <x:row r="434">
      <x:c r="V434" s="141" t="n">
        <x:v>45724</x:v>
      </x:c>
      <x:c r="W434" s="142" t="n">
        <x:v>86801.74</x:v>
      </x:c>
      <x:c r="X434" s="142" t="n">
        <x:v>86897.25</x:v>
      </x:c>
      <x:c r="Y434" s="142" t="n">
        <x:v>85218.47</x:v>
      </x:c>
      <x:c r="Z434" s="142" t="n">
        <x:v>86222.45</x:v>
      </x:c>
      <x:c r="AA434" s="142" t="n">
        <x:v>12565.290827132394</x:v>
      </x:c>
      <x:c r="AB434" s="142" t="n">
        <x:v>12008.288720734952</x:v>
      </x:c>
    </x:row>
    <x:row r="435">
      <x:c r="V435" s="141" t="n">
        <x:v>45725</x:v>
      </x:c>
      <x:c r="W435" s="142" t="n">
        <x:v>86222.46</x:v>
      </x:c>
      <x:c r="X435" s="142" t="n">
        <x:v>86500</x:v>
      </x:c>
      <x:c r="Y435" s="142" t="n">
        <x:v>80000</x:v>
      </x:c>
      <x:c r="Z435" s="142" t="n">
        <x:v>80734.37</x:v>
      </x:c>
      <x:c r="AA435" s="142" t="n">
        <x:v>12565.290827132394</x:v>
      </x:c>
      <x:c r="AB435" s="142" t="n">
        <x:v>12008.288720734952</x:v>
      </x:c>
    </x:row>
    <x:row r="436">
      <x:c r="V436" s="141" t="n">
        <x:v>45726</x:v>
      </x:c>
      <x:c r="W436" s="142" t="n">
        <x:v>80734.48</x:v>
      </x:c>
      <x:c r="X436" s="142" t="n">
        <x:v>84123.46</x:v>
      </x:c>
      <x:c r="Y436" s="142" t="n">
        <x:v>77459.91</x:v>
      </x:c>
      <x:c r="Z436" s="142" t="n">
        <x:v>78595.86</x:v>
      </x:c>
      <x:c r="AA436" s="142" t="n">
        <x:v>12565.290827132394</x:v>
      </x:c>
      <x:c r="AB436" s="142" t="n">
        <x:v>12008.288720734952</x:v>
      </x:c>
    </x:row>
    <x:row r="437">
      <x:c r="V437" s="141" t="n">
        <x:v>45727</x:v>
      </x:c>
      <x:c r="W437" s="142" t="n">
        <x:v>78595.86</x:v>
      </x:c>
      <x:c r="X437" s="142" t="n">
        <x:v>83617.4</x:v>
      </x:c>
      <x:c r="Y437" s="142" t="n">
        <x:v>76606</x:v>
      </x:c>
      <x:c r="Z437" s="142" t="n">
        <x:v>82932.99</x:v>
      </x:c>
      <x:c r="AA437" s="142" t="n">
        <x:v>12565.290827132394</x:v>
      </x:c>
      <x:c r="AB437" s="142" t="n">
        <x:v>12008.288720734952</x:v>
      </x:c>
    </x:row>
    <x:row r="438">
      <x:c r="V438" s="141" t="n">
        <x:v>45728</x:v>
      </x:c>
      <x:c r="W438" s="142" t="n">
        <x:v>82932.99</x:v>
      </x:c>
      <x:c r="X438" s="142" t="n">
        <x:v>84539.85</x:v>
      </x:c>
      <x:c r="Y438" s="142" t="n">
        <x:v>80607.65</x:v>
      </x:c>
      <x:c r="Z438" s="142" t="n">
        <x:v>83680.12</x:v>
      </x:c>
      <x:c r="AA438" s="142" t="n">
        <x:v>12565.290827132394</x:v>
      </x:c>
      <x:c r="AB438" s="142" t="n">
        <x:v>12008.288720734952</x:v>
      </x:c>
    </x:row>
    <x:row r="439">
      <x:c r="V439" s="141" t="n">
        <x:v>45729</x:v>
      </x:c>
      <x:c r="W439" s="142" t="n">
        <x:v>83680.12</x:v>
      </x:c>
      <x:c r="X439" s="142" t="n">
        <x:v>84336.33</x:v>
      </x:c>
      <x:c r="Y439" s="142" t="n">
        <x:v>79939.9</x:v>
      </x:c>
      <x:c r="Z439" s="142" t="n">
        <x:v>81115.78</x:v>
      </x:c>
      <x:c r="AA439" s="142" t="n">
        <x:v>12565.290827132394</x:v>
      </x:c>
      <x:c r="AB439" s="142" t="n">
        <x:v>12008.288720734952</x:v>
      </x:c>
    </x:row>
    <x:row r="440">
      <x:c r="V440" s="141" t="n">
        <x:v>45730</x:v>
      </x:c>
      <x:c r="W440" s="142" t="n">
        <x:v>81115.78</x:v>
      </x:c>
      <x:c r="X440" s="142" t="n">
        <x:v>85309.71</x:v>
      </x:c>
      <x:c r="Y440" s="142" t="n">
        <x:v>80818.84</x:v>
      </x:c>
      <x:c r="Z440" s="142" t="n">
        <x:v>83983.2</x:v>
      </x:c>
      <x:c r="AA440" s="142" t="n">
        <x:v>12565.290827132394</x:v>
      </x:c>
      <x:c r="AB440" s="142" t="n">
        <x:v>12008.288720734952</x:v>
      </x:c>
    </x:row>
    <x:row r="441">
      <x:c r="V441" s="141" t="n">
        <x:v>45731</x:v>
      </x:c>
      <x:c r="W441" s="142" t="n">
        <x:v>83983.19</x:v>
      </x:c>
      <x:c r="X441" s="142" t="n">
        <x:v>84676.28</x:v>
      </x:c>
      <x:c r="Y441" s="142" t="n">
        <x:v>83618</x:v>
      </x:c>
      <x:c r="Z441" s="142" t="n">
        <x:v>84338.44</x:v>
      </x:c>
      <x:c r="AA441" s="142" t="n">
        <x:v>12565.290827132394</x:v>
      </x:c>
      <x:c r="AB441" s="142" t="n">
        <x:v>12008.288720734952</x:v>
      </x:c>
    </x:row>
    <x:row r="442">
      <x:c r="V442" s="141" t="n">
        <x:v>45732</x:v>
      </x:c>
      <x:c r="W442" s="142" t="n">
        <x:v>84338.44</x:v>
      </x:c>
      <x:c r="X442" s="142" t="n">
        <x:v>85117.04</x:v>
      </x:c>
      <x:c r="Y442" s="142" t="n">
        <x:v>81981.12</x:v>
      </x:c>
      <x:c r="Z442" s="142" t="n">
        <x:v>82574.53</x:v>
      </x:c>
      <x:c r="AA442" s="142" t="n">
        <x:v>12565.290827132394</x:v>
      </x:c>
      <x:c r="AB442" s="142" t="n">
        <x:v>12008.288720734952</x:v>
      </x:c>
    </x:row>
    <x:row r="443">
      <x:c r="V443" s="141" t="n">
        <x:v>45733</x:v>
      </x:c>
      <x:c r="W443" s="142" t="n">
        <x:v>82574.52</x:v>
      </x:c>
      <x:c r="X443" s="142" t="n">
        <x:v>84756.83</x:v>
      </x:c>
      <x:c r="Y443" s="142" t="n">
        <x:v>82456</x:v>
      </x:c>
      <x:c r="Z443" s="142" t="n">
        <x:v>84010.03</x:v>
      </x:c>
      <x:c r="AA443" s="142" t="n">
        <x:v>12565.290827132394</x:v>
      </x:c>
      <x:c r="AB443" s="142" t="n">
        <x:v>12008.288720734952</x:v>
      </x:c>
    </x:row>
    <x:row r="444">
      <x:c r="V444" s="141" t="n">
        <x:v>45734</x:v>
      </x:c>
      <x:c r="W444" s="142" t="n">
        <x:v>84010.02</x:v>
      </x:c>
      <x:c r="X444" s="142" t="n">
        <x:v>84021.74</x:v>
      </x:c>
      <x:c r="Y444" s="142" t="n">
        <x:v>81134.66</x:v>
      </x:c>
      <x:c r="Z444" s="142" t="n">
        <x:v>82715.03</x:v>
      </x:c>
      <x:c r="AA444" s="142" t="n">
        <x:v>12565.290827132394</x:v>
      </x:c>
      <x:c r="AB444" s="142" t="n">
        <x:v>12008.288720734952</x:v>
      </x:c>
    </x:row>
    <x:row r="445">
      <x:c r="V445" s="141" t="n">
        <x:v>45735</x:v>
      </x:c>
      <x:c r="W445" s="142" t="n">
        <x:v>82715.03</x:v>
      </x:c>
      <x:c r="X445" s="142" t="n">
        <x:v>87000</x:v>
      </x:c>
      <x:c r="Y445" s="142" t="n">
        <x:v>82547.16</x:v>
      </x:c>
      <x:c r="Z445" s="142" t="n">
        <x:v>86845.94</x:v>
      </x:c>
      <x:c r="AA445" s="142" t="n">
        <x:v>12565.290827132394</x:v>
      </x:c>
      <x:c r="AB445" s="142" t="n">
        <x:v>12008.288720734952</x:v>
      </x:c>
    </x:row>
    <x:row r="446">
      <x:c r="V446" s="141" t="n">
        <x:v>45736</x:v>
      </x:c>
      <x:c r="W446" s="142" t="n">
        <x:v>86845.93</x:v>
      </x:c>
      <x:c r="X446" s="142" t="n">
        <x:v>87453.67</x:v>
      </x:c>
      <x:c r="Y446" s="142" t="n">
        <x:v>83655.23</x:v>
      </x:c>
      <x:c r="Z446" s="142" t="n">
        <x:v>84223.39</x:v>
      </x:c>
      <x:c r="AA446" s="142" t="n">
        <x:v>12565.290827132394</x:v>
      </x:c>
      <x:c r="AB446" s="142" t="n">
        <x:v>12008.288720734952</x:v>
      </x:c>
    </x:row>
    <x:row r="447">
      <x:c r="V447" s="141" t="n">
        <x:v>45737</x:v>
      </x:c>
      <x:c r="W447" s="142" t="n">
        <x:v>84223.38</x:v>
      </x:c>
      <x:c r="X447" s="142" t="n">
        <x:v>84850.33</x:v>
      </x:c>
      <x:c r="Y447" s="142" t="n">
        <x:v>83175.25</x:v>
      </x:c>
      <x:c r="Z447" s="142" t="n">
        <x:v>84088.79</x:v>
      </x:c>
      <x:c r="AA447" s="142" t="n">
        <x:v>12565.290827132394</x:v>
      </x:c>
      <x:c r="AB447" s="142" t="n">
        <x:v>12008.288720734952</x:v>
      </x:c>
    </x:row>
    <x:row r="448">
      <x:c r="V448" s="141" t="n">
        <x:v>45738</x:v>
      </x:c>
      <x:c r="W448" s="142" t="n">
        <x:v>84088.79</x:v>
      </x:c>
      <x:c r="X448" s="142" t="n">
        <x:v>84539.17</x:v>
      </x:c>
      <x:c r="Y448" s="142" t="n">
        <x:v>83625.1</x:v>
      </x:c>
      <x:c r="Z448" s="142" t="n">
        <x:v>83840.59</x:v>
      </x:c>
      <x:c r="AA448" s="142" t="n">
        <x:v>12565.290827132394</x:v>
      </x:c>
      <x:c r="AB448" s="142" t="n">
        <x:v>12008.288720734952</x:v>
      </x:c>
    </x:row>
    <x:row r="449">
      <x:c r="V449" s="141" t="n">
        <x:v>45739</x:v>
      </x:c>
      <x:c r="W449" s="142" t="n">
        <x:v>83840.59</x:v>
      </x:c>
      <x:c r="X449" s="142" t="n">
        <x:v>86129.64</x:v>
      </x:c>
      <x:c r="Y449" s="142" t="n">
        <x:v>83809.75</x:v>
      </x:c>
      <x:c r="Z449" s="142" t="n">
        <x:v>86082.5</x:v>
      </x:c>
      <x:c r="AA449" s="142" t="n">
        <x:v>12565.290827132394</x:v>
      </x:c>
      <x:c r="AB449" s="142" t="n">
        <x:v>12008.288720734952</x:v>
      </x:c>
    </x:row>
    <x:row r="450">
      <x:c r="V450" s="141" t="n">
        <x:v>45740</x:v>
      </x:c>
      <x:c r="W450" s="142" t="n">
        <x:v>86082.5</x:v>
      </x:c>
      <x:c r="X450" s="142" t="n">
        <x:v>88765.43</x:v>
      </x:c>
      <x:c r="Y450" s="142" t="n">
        <x:v>85519.09</x:v>
      </x:c>
      <x:c r="Z450" s="142" t="n">
        <x:v>87498.16</x:v>
      </x:c>
      <x:c r="AA450" s="142" t="n">
        <x:v>12565.290827132394</x:v>
      </x:c>
      <x:c r="AB450" s="142" t="n">
        <x:v>12008.288720734952</x:v>
      </x:c>
    </x:row>
    <x:row r="451">
      <x:c r="V451" s="141" t="n">
        <x:v>45741</x:v>
      </x:c>
      <x:c r="W451" s="142" t="n">
        <x:v>87498.16</x:v>
      </x:c>
      <x:c r="X451" s="142" t="n">
        <x:v>88539.63</x:v>
      </x:c>
      <x:c r="Y451" s="142" t="n">
        <x:v>86310</x:v>
      </x:c>
      <x:c r="Z451" s="142" t="n">
        <x:v>87392.87</x:v>
      </x:c>
      <x:c r="AA451" s="142" t="n">
        <x:v>12565.290827132394</x:v>
      </x:c>
      <x:c r="AB451" s="142" t="n">
        <x:v>12008.288720734952</x:v>
      </x:c>
    </x:row>
    <x:row r="452">
      <x:c r="V452" s="141" t="n">
        <x:v>45742</x:v>
      </x:c>
      <x:c r="W452" s="142" t="n">
        <x:v>87392.88</x:v>
      </x:c>
      <x:c r="X452" s="142" t="n">
        <x:v>88275</x:v>
      </x:c>
      <x:c r="Y452" s="142" t="n">
        <x:v>85860</x:v>
      </x:c>
      <x:c r="Z452" s="142" t="n">
        <x:v>86909.17</x:v>
      </x:c>
      <x:c r="AA452" s="142" t="n">
        <x:v>12565.290827132394</x:v>
      </x:c>
      <x:c r="AB452" s="142" t="n">
        <x:v>12008.288720734952</x:v>
      </x:c>
    </x:row>
    <x:row r="453">
      <x:c r="V453" s="141" t="n">
        <x:v>45743</x:v>
      </x:c>
      <x:c r="W453" s="142" t="n">
        <x:v>86909.17</x:v>
      </x:c>
      <x:c r="X453" s="142" t="n">
        <x:v>87756.39</x:v>
      </x:c>
      <x:c r="Y453" s="142" t="n">
        <x:v>85800</x:v>
      </x:c>
      <x:c r="Z453" s="142" t="n">
        <x:v>87232.01</x:v>
      </x:c>
      <x:c r="AA453" s="142" t="n">
        <x:v>12565.290827132394</x:v>
      </x:c>
      <x:c r="AB453" s="142" t="n">
        <x:v>12008.288720734952</x:v>
      </x:c>
    </x:row>
    <x:row r="454">
      <x:c r="V454" s="141" t="n">
        <x:v>45744</x:v>
      </x:c>
      <x:c r="W454" s="142" t="n">
        <x:v>87232.01</x:v>
      </x:c>
      <x:c r="X454" s="142" t="n">
        <x:v>87515.67</x:v>
      </x:c>
      <x:c r="Y454" s="142" t="n">
        <x:v>83585</x:v>
      </x:c>
      <x:c r="Z454" s="142" t="n">
        <x:v>84424.38</x:v>
      </x:c>
      <x:c r="AA454" s="142" t="n">
        <x:v>12565.290827132394</x:v>
      </x:c>
      <x:c r="AB454" s="142" t="n">
        <x:v>12008.288720734952</x:v>
      </x:c>
    </x:row>
    <x:row r="455">
      <x:c r="V455" s="141" t="n">
        <x:v>45745</x:v>
      </x:c>
      <x:c r="W455" s="142" t="n">
        <x:v>84424.38</x:v>
      </x:c>
      <x:c r="X455" s="142" t="n">
        <x:v>84624.73</x:v>
      </x:c>
      <x:c r="Y455" s="142" t="n">
        <x:v>81644.81</x:v>
      </x:c>
      <x:c r="Z455" s="142" t="n">
        <x:v>82648.54</x:v>
      </x:c>
      <x:c r="AA455" s="142" t="n">
        <x:v>12565.290827132394</x:v>
      </x:c>
      <x:c r="AB455" s="142" t="n">
        <x:v>12008.288720734952</x:v>
      </x:c>
    </x:row>
    <x:row r="456">
      <x:c r="V456" s="141" t="n">
        <x:v>45746</x:v>
      </x:c>
      <x:c r="W456" s="142" t="n">
        <x:v>82648.53</x:v>
      </x:c>
      <x:c r="X456" s="142" t="n">
        <x:v>83534.64</x:v>
      </x:c>
      <x:c r="Y456" s="142" t="n">
        <x:v>81565</x:v>
      </x:c>
      <x:c r="Z456" s="142" t="n">
        <x:v>82389.99</x:v>
      </x:c>
      <x:c r="AA456" s="142" t="n">
        <x:v>12565.290827132394</x:v>
      </x:c>
      <x:c r="AB456" s="142" t="n">
        <x:v>12008.288720734952</x:v>
      </x:c>
    </x:row>
    <x:row r="457">
      <x:c r="V457" s="141" t="n">
        <x:v>45747</x:v>
      </x:c>
      <x:c r="W457" s="142" t="n">
        <x:v>82390</x:v>
      </x:c>
      <x:c r="X457" s="142" t="n">
        <x:v>83943.08</x:v>
      </x:c>
      <x:c r="Y457" s="142" t="n">
        <x:v>81278.52</x:v>
      </x:c>
      <x:c r="Z457" s="142" t="n">
        <x:v>82550.01</x:v>
      </x:c>
      <x:c r="AA457" s="142" t="n">
        <x:v>12565.290827132394</x:v>
      </x:c>
      <x:c r="AB457" s="142" t="n">
        <x:v>12008.288720734952</x:v>
      </x:c>
    </x:row>
    <x:row r="458">
      <x:c r="V458" s="141" t="n">
        <x:v>45748</x:v>
      </x:c>
      <x:c r="W458" s="142" t="n">
        <x:v>82550</x:v>
      </x:c>
      <x:c r="X458" s="142" t="n">
        <x:v>85579.46</x:v>
      </x:c>
      <x:c r="Y458" s="142" t="n">
        <x:v>82432.74</x:v>
      </x:c>
      <x:c r="Z458" s="142" t="n">
        <x:v>85158.34</x:v>
      </x:c>
      <x:c r="AA458" s="142" t="n">
        <x:v>12565.290827132394</x:v>
      </x:c>
      <x:c r="AB458" s="142" t="n">
        <x:v>12008.288720734952</x:v>
      </x:c>
    </x:row>
    <x:row r="459">
      <x:c r="V459" s="141" t="n">
        <x:v>45749</x:v>
      </x:c>
      <x:c r="W459" s="142" t="n">
        <x:v>85158.35</x:v>
      </x:c>
      <x:c r="X459" s="142" t="n">
        <x:v>88500</x:v>
      </x:c>
      <x:c r="Y459" s="142" t="n">
        <x:v>82320</x:v>
      </x:c>
      <x:c r="Z459" s="142" t="n">
        <x:v>82516.29</x:v>
      </x:c>
      <x:c r="AA459" s="142" t="n">
        <x:v>12565.290827132394</x:v>
      </x:c>
      <x:c r="AB459" s="142" t="n">
        <x:v>12008.288720734952</x:v>
      </x:c>
    </x:row>
    <x:row r="460">
      <x:c r="V460" s="141" t="n">
        <x:v>45750</x:v>
      </x:c>
      <x:c r="W460" s="142" t="n">
        <x:v>82516.28</x:v>
      </x:c>
      <x:c r="X460" s="142" t="n">
        <x:v>83998.02</x:v>
      </x:c>
      <x:c r="Y460" s="142" t="n">
        <x:v>81211.24</x:v>
      </x:c>
      <x:c r="Z460" s="142" t="n">
        <x:v>83213.09</x:v>
      </x:c>
      <x:c r="AA460" s="142" t="n">
        <x:v>12565.290827132394</x:v>
      </x:c>
      <x:c r="AB460" s="142" t="n">
        <x:v>12008.288720734952</x:v>
      </x:c>
    </x:row>
    <x:row r="461">
      <x:c r="V461" s="141" t="n">
        <x:v>45751</x:v>
      </x:c>
      <x:c r="W461" s="142" t="n">
        <x:v>83213.09</x:v>
      </x:c>
      <x:c r="X461" s="142" t="n">
        <x:v>84720</x:v>
      </x:c>
      <x:c r="Y461" s="142" t="n">
        <x:v>81659</x:v>
      </x:c>
      <x:c r="Z461" s="142" t="n">
        <x:v>83889.87</x:v>
      </x:c>
      <x:c r="AA461" s="142" t="n">
        <x:v>12565.290827132394</x:v>
      </x:c>
      <x:c r="AB461" s="142" t="n">
        <x:v>12008.288720734952</x:v>
      </x:c>
    </x:row>
    <x:row r="462">
      <x:c r="V462" s="141" t="n">
        <x:v>45752</x:v>
      </x:c>
      <x:c r="W462" s="142" t="n">
        <x:v>83889.87</x:v>
      </x:c>
      <x:c r="X462" s="142" t="n">
        <x:v>84266</x:v>
      </x:c>
      <x:c r="Y462" s="142" t="n">
        <x:v>82379.95</x:v>
      </x:c>
      <x:c r="Z462" s="142" t="n">
        <x:v>83537.99</x:v>
      </x:c>
      <x:c r="AA462" s="142" t="n">
        <x:v>12565.290827132394</x:v>
      </x:c>
      <x:c r="AB462" s="142" t="n">
        <x:v>12008.288720734952</x:v>
      </x:c>
    </x:row>
    <x:row r="463">
      <x:c r="V463" s="141" t="n">
        <x:v>45753</x:v>
      </x:c>
      <x:c r="W463" s="142" t="n">
        <x:v>83537.99</x:v>
      </x:c>
      <x:c r="X463" s="142" t="n">
        <x:v>83817.63</x:v>
      </x:c>
      <x:c r="Y463" s="142" t="n">
        <x:v>77153.83</x:v>
      </x:c>
      <x:c r="Z463" s="142" t="n">
        <x:v>78430</x:v>
      </x:c>
      <x:c r="AA463" s="142" t="n">
        <x:v>12565.290827132394</x:v>
      </x:c>
      <x:c r="AB463" s="142" t="n">
        <x:v>12008.288720734952</x:v>
      </x:c>
    </x:row>
    <x:row r="464">
      <x:c r="V464" s="141" t="n">
        <x:v>45754</x:v>
      </x:c>
      <x:c r="W464" s="142" t="n">
        <x:v>78430</x:v>
      </x:c>
      <x:c r="X464" s="142" t="n">
        <x:v>81243.58</x:v>
      </x:c>
      <x:c r="Y464" s="142" t="n">
        <x:v>74508</x:v>
      </x:c>
      <x:c r="Z464" s="142" t="n">
        <x:v>79163.24</x:v>
      </x:c>
      <x:c r="AA464" s="142" t="n">
        <x:v>12565.290827132394</x:v>
      </x:c>
      <x:c r="AB464" s="142" t="n">
        <x:v>12008.288720734952</x:v>
      </x:c>
    </x:row>
    <x:row r="465">
      <x:c r="V465" s="141" t="n">
        <x:v>45755</x:v>
      </x:c>
      <x:c r="W465" s="142" t="n">
        <x:v>79163.24</x:v>
      </x:c>
      <x:c r="X465" s="142" t="n">
        <x:v>80867.99</x:v>
      </x:c>
      <x:c r="Y465" s="142" t="n">
        <x:v>76239.9</x:v>
      </x:c>
      <x:c r="Z465" s="142" t="n">
        <x:v>76322.42</x:v>
      </x:c>
      <x:c r="AA465" s="142" t="n">
        <x:v>12565.290827132394</x:v>
      </x:c>
      <x:c r="AB465" s="142" t="n">
        <x:v>12008.288720734952</x:v>
      </x:c>
    </x:row>
    <x:row r="466">
      <x:c r="V466" s="141" t="n">
        <x:v>45756</x:v>
      </x:c>
      <x:c r="W466" s="142" t="n">
        <x:v>76322.42</x:v>
      </x:c>
      <x:c r="X466" s="142" t="n">
        <x:v>83588</x:v>
      </x:c>
      <x:c r="Y466" s="142" t="n">
        <x:v>74620</x:v>
      </x:c>
      <x:c r="Z466" s="142" t="n">
        <x:v>82615.22</x:v>
      </x:c>
      <x:c r="AA466" s="142" t="n">
        <x:v>12565.290827132394</x:v>
      </x:c>
      <x:c r="AB466" s="142" t="n">
        <x:v>12008.288720734952</x:v>
      </x:c>
    </x:row>
    <x:row r="467">
      <x:c r="V467" s="141" t="n">
        <x:v>45757</x:v>
      </x:c>
      <x:c r="W467" s="142" t="n">
        <x:v>82615.22</x:v>
      </x:c>
      <x:c r="X467" s="142" t="n">
        <x:v>82753.21</x:v>
      </x:c>
      <x:c r="Y467" s="142" t="n">
        <x:v>78464.36</x:v>
      </x:c>
      <x:c r="Z467" s="142" t="n">
        <x:v>79607.3</x:v>
      </x:c>
      <x:c r="AA467" s="142" t="n">
        <x:v>12565.290827132394</x:v>
      </x:c>
      <x:c r="AB467" s="142" t="n">
        <x:v>12008.288720734952</x:v>
      </x:c>
    </x:row>
    <x:row r="468">
      <x:c r="V468" s="141" t="n">
        <x:v>45758</x:v>
      </x:c>
      <x:c r="W468" s="142" t="n">
        <x:v>79607.3</x:v>
      </x:c>
      <x:c r="X468" s="142" t="n">
        <x:v>84300</x:v>
      </x:c>
      <x:c r="Y468" s="142" t="n">
        <x:v>78969.58</x:v>
      </x:c>
      <x:c r="Z468" s="142" t="n">
        <x:v>83423.84</x:v>
      </x:c>
      <x:c r="AA468" s="142" t="n">
        <x:v>12565.290827132394</x:v>
      </x:c>
      <x:c r="AB468" s="142" t="n">
        <x:v>12008.288720734952</x:v>
      </x:c>
    </x:row>
    <x:row r="469">
      <x:c r="V469" s="141" t="n">
        <x:v>45759</x:v>
      </x:c>
      <x:c r="W469" s="142" t="n">
        <x:v>83423.83</x:v>
      </x:c>
      <x:c r="X469" s="142" t="n">
        <x:v>85905</x:v>
      </x:c>
      <x:c r="Y469" s="142" t="n">
        <x:v>82792.95</x:v>
      </x:c>
      <x:c r="Z469" s="142" t="n">
        <x:v>85276.9</x:v>
      </x:c>
      <x:c r="AA469" s="142" t="n">
        <x:v>12565.290827132394</x:v>
      </x:c>
      <x:c r="AB469" s="142" t="n">
        <x:v>12008.288720734952</x:v>
      </x:c>
    </x:row>
    <x:row r="470">
      <x:c r="V470" s="141" t="n">
        <x:v>45760</x:v>
      </x:c>
      <x:c r="W470" s="142" t="n">
        <x:v>85276.91</x:v>
      </x:c>
      <x:c r="X470" s="142" t="n">
        <x:v>86100</x:v>
      </x:c>
      <x:c r="Y470" s="142" t="n">
        <x:v>83034.23</x:v>
      </x:c>
      <x:c r="Z470" s="142" t="n">
        <x:v>83760</x:v>
      </x:c>
      <x:c r="AA470" s="142" t="n">
        <x:v>12565.290827132394</x:v>
      </x:c>
      <x:c r="AB470" s="142" t="n">
        <x:v>12008.288720734952</x:v>
      </x:c>
    </x:row>
    <x:row r="471">
      <x:c r="V471" s="141" t="n">
        <x:v>45761</x:v>
      </x:c>
      <x:c r="W471" s="142" t="n">
        <x:v>83760</x:v>
      </x:c>
      <x:c r="X471" s="142" t="n">
        <x:v>85799.99</x:v>
      </x:c>
      <x:c r="Y471" s="142" t="n">
        <x:v>83678</x:v>
      </x:c>
      <x:c r="Z471" s="142" t="n">
        <x:v>84591.58</x:v>
      </x:c>
      <x:c r="AA471" s="142" t="n">
        <x:v>12565.290827132394</x:v>
      </x:c>
      <x:c r="AB471" s="142" t="n">
        <x:v>12008.288720734952</x:v>
      </x:c>
    </x:row>
    <x:row r="472">
      <x:c r="V472" s="141" t="n">
        <x:v>45762</x:v>
      </x:c>
      <x:c r="W472" s="142" t="n">
        <x:v>84591.58</x:v>
      </x:c>
      <x:c r="X472" s="142" t="n">
        <x:v>86496.42</x:v>
      </x:c>
      <x:c r="Y472" s="142" t="n">
        <x:v>83600</x:v>
      </x:c>
      <x:c r="Z472" s="142" t="n">
        <x:v>83643.99</x:v>
      </x:c>
      <x:c r="AA472" s="142" t="n">
        <x:v>12565.290827132394</x:v>
      </x:c>
      <x:c r="AB472" s="142" t="n">
        <x:v>12008.288720734952</x:v>
      </x:c>
    </x:row>
    <x:row r="473">
      <x:c r="V473" s="141" t="n">
        <x:v>45763</x:v>
      </x:c>
      <x:c r="W473" s="142" t="n">
        <x:v>83643.99</x:v>
      </x:c>
      <x:c r="X473" s="142" t="n">
        <x:v>85500</x:v>
      </x:c>
      <x:c r="Y473" s="142" t="n">
        <x:v>83111.64</x:v>
      </x:c>
      <x:c r="Z473" s="142" t="n">
        <x:v>84030.38</x:v>
      </x:c>
      <x:c r="AA473" s="142" t="n">
        <x:v>12565.290827132394</x:v>
      </x:c>
      <x:c r="AB473" s="142" t="n">
        <x:v>12008.288720734952</x:v>
      </x:c>
    </x:row>
    <x:row r="474">
      <x:c r="V474" s="141" t="n">
        <x:v>45764</x:v>
      </x:c>
      <x:c r="W474" s="142" t="n">
        <x:v>84030.38</x:v>
      </x:c>
      <x:c r="X474" s="142" t="n">
        <x:v>85470.01</x:v>
      </x:c>
      <x:c r="Y474" s="142" t="n">
        <x:v>83736.26</x:v>
      </x:c>
      <x:c r="Z474" s="142" t="n">
        <x:v>84947.91</x:v>
      </x:c>
      <x:c r="AA474" s="142" t="n">
        <x:v>12565.290827132394</x:v>
      </x:c>
      <x:c r="AB474" s="142" t="n">
        <x:v>12008.288720734952</x:v>
      </x:c>
    </x:row>
    <x:row r="475">
      <x:c r="V475" s="141" t="n">
        <x:v>45765</x:v>
      </x:c>
      <x:c r="W475" s="142" t="n">
        <x:v>84947.92</x:v>
      </x:c>
      <x:c r="X475" s="142" t="n">
        <x:v>85132.08</x:v>
      </x:c>
      <x:c r="Y475" s="142" t="n">
        <x:v>84303.96</x:v>
      </x:c>
      <x:c r="Z475" s="142" t="n">
        <x:v>84474.69</x:v>
      </x:c>
      <x:c r="AA475" s="142" t="n">
        <x:v>12565.290827132394</x:v>
      </x:c>
      <x:c r="AB475" s="142" t="n">
        <x:v>12008.288720734952</x:v>
      </x:c>
    </x:row>
    <x:row r="476">
      <x:c r="V476" s="141" t="n">
        <x:v>45766</x:v>
      </x:c>
      <x:c r="W476" s="142" t="n">
        <x:v>84474.7</x:v>
      </x:c>
      <x:c r="X476" s="142" t="n">
        <x:v>85677.99</x:v>
      </x:c>
      <x:c r="Y476" s="142" t="n">
        <x:v>84364.45</x:v>
      </x:c>
      <x:c r="Z476" s="142" t="n">
        <x:v>85077.01</x:v>
      </x:c>
      <x:c r="AA476" s="142" t="n">
        <x:v>12565.290827132394</x:v>
      </x:c>
      <x:c r="AB476" s="142" t="n">
        <x:v>12008.288720734952</x:v>
      </x:c>
    </x:row>
    <x:row r="477">
      <x:c r="V477" s="141" t="n">
        <x:v>45767</x:v>
      </x:c>
      <x:c r="W477" s="142" t="n">
        <x:v>85077</x:v>
      </x:c>
      <x:c r="X477" s="142" t="n">
        <x:v>85320.76</x:v>
      </x:c>
      <x:c r="Y477" s="142" t="n">
        <x:v>83949.52</x:v>
      </x:c>
      <x:c r="Z477" s="142" t="n">
        <x:v>85179.24</x:v>
      </x:c>
      <x:c r="AA477" s="142" t="n">
        <x:v>12565.290827132394</x:v>
      </x:c>
      <x:c r="AB477" s="142" t="n">
        <x:v>12008.288720734952</x:v>
      </x:c>
    </x:row>
    <x:row r="478">
      <x:c r="V478" s="141" t="n">
        <x:v>45768</x:v>
      </x:c>
      <x:c r="W478" s="142" t="n">
        <x:v>85179.24</x:v>
      </x:c>
      <x:c r="X478" s="142" t="n">
        <x:v>88465.99</x:v>
      </x:c>
      <x:c r="Y478" s="142" t="n">
        <x:v>85144.76</x:v>
      </x:c>
      <x:c r="Z478" s="142" t="n">
        <x:v>87516.23</x:v>
      </x:c>
      <x:c r="AA478" s="142" t="n">
        <x:v>12565.290827132394</x:v>
      </x:c>
      <x:c r="AB478" s="142" t="n">
        <x:v>12008.288720734952</x:v>
      </x:c>
    </x:row>
    <x:row r="479">
      <x:c r="V479" s="141" t="n">
        <x:v>45769</x:v>
      </x:c>
      <x:c r="W479" s="142" t="n">
        <x:v>87516.22</x:v>
      </x:c>
      <x:c r="X479" s="142" t="n">
        <x:v>93888</x:v>
      </x:c>
      <x:c r="Y479" s="142" t="n">
        <x:v>87076.03</x:v>
      </x:c>
      <x:c r="Z479" s="142" t="n">
        <x:v>93442.99</x:v>
      </x:c>
      <x:c r="AA479" s="142" t="n">
        <x:v>12565.290827132394</x:v>
      </x:c>
      <x:c r="AB479" s="142" t="n">
        <x:v>12008.288720734952</x:v>
      </x:c>
    </x:row>
    <x:row r="480">
      <x:c r="V480" s="141" t="n">
        <x:v>45770</x:v>
      </x:c>
      <x:c r="W480" s="142" t="n">
        <x:v>93442.99</x:v>
      </x:c>
      <x:c r="X480" s="142" t="n">
        <x:v>94696.05</x:v>
      </x:c>
      <x:c r="Y480" s="142" t="n">
        <x:v>91935.41</x:v>
      </x:c>
      <x:c r="Z480" s="142" t="n">
        <x:v>93691.08</x:v>
      </x:c>
      <x:c r="AA480" s="142" t="n">
        <x:v>12565.290827132394</x:v>
      </x:c>
      <x:c r="AB480" s="142" t="n">
        <x:v>12008.288720734952</x:v>
      </x:c>
    </x:row>
    <x:row r="481">
      <x:c r="V481" s="141" t="n">
        <x:v>45771</x:v>
      </x:c>
      <x:c r="W481" s="142" t="n">
        <x:v>93691.07</x:v>
      </x:c>
      <x:c r="X481" s="142" t="n">
        <x:v>94005</x:v>
      </x:c>
      <x:c r="Y481" s="142" t="n">
        <x:v>91660.01</x:v>
      </x:c>
      <x:c r="Z481" s="142" t="n">
        <x:v>93980.47</x:v>
      </x:c>
      <x:c r="AA481" s="142" t="n">
        <x:v>12565.290827132394</x:v>
      </x:c>
      <x:c r="AB481" s="142" t="n">
        <x:v>12008.288720734952</x:v>
      </x:c>
    </x:row>
    <x:row r="482">
      <x:c r="V482" s="141" t="n">
        <x:v>45772</x:v>
      </x:c>
      <x:c r="W482" s="142" t="n">
        <x:v>93980.47</x:v>
      </x:c>
      <x:c r="X482" s="142" t="n">
        <x:v>95758.04</x:v>
      </x:c>
      <x:c r="Y482" s="142" t="n">
        <x:v>92855.96</x:v>
      </x:c>
      <x:c r="Z482" s="142" t="n">
        <x:v>94638.68</x:v>
      </x:c>
      <x:c r="AA482" s="142" t="n">
        <x:v>12565.290827132394</x:v>
      </x:c>
      <x:c r="AB482" s="142" t="n">
        <x:v>12008.288720734952</x:v>
      </x:c>
    </x:row>
    <x:row r="483">
      <x:c r="V483" s="141" t="n">
        <x:v>45773</x:v>
      </x:c>
      <x:c r="W483" s="142" t="n">
        <x:v>94638.68</x:v>
      </x:c>
      <x:c r="X483" s="142" t="n">
        <x:v>95199</x:v>
      </x:c>
      <x:c r="Y483" s="142" t="n">
        <x:v>93870.69</x:v>
      </x:c>
      <x:c r="Z483" s="142" t="n">
        <x:v>94628</x:v>
      </x:c>
      <x:c r="AA483" s="142" t="n">
        <x:v>12565.290827132394</x:v>
      </x:c>
      <x:c r="AB483" s="142" t="n">
        <x:v>12008.288720734952</x:v>
      </x:c>
    </x:row>
    <x:row r="484">
      <x:c r="V484" s="141" t="n">
        <x:v>45774</x:v>
      </x:c>
      <x:c r="W484" s="142" t="n">
        <x:v>94628</x:v>
      </x:c>
      <x:c r="X484" s="142" t="n">
        <x:v>95369</x:v>
      </x:c>
      <x:c r="Y484" s="142" t="n">
        <x:v>93602.58</x:v>
      </x:c>
      <x:c r="Z484" s="142" t="n">
        <x:v>93749.3</x:v>
      </x:c>
      <x:c r="AA484" s="142" t="n">
        <x:v>12565.290827132394</x:v>
      </x:c>
      <x:c r="AB484" s="142" t="n">
        <x:v>12008.288720734952</x:v>
      </x:c>
    </x:row>
    <x:row r="485">
      <x:c r="V485" s="141" t="n">
        <x:v>45775</x:v>
      </x:c>
      <x:c r="W485" s="142" t="n">
        <x:v>93749.29</x:v>
      </x:c>
      <x:c r="X485" s="142" t="n">
        <x:v>95630</x:v>
      </x:c>
      <x:c r="Y485" s="142" t="n">
        <x:v>92800.01</x:v>
      </x:c>
      <x:c r="Z485" s="142" t="n">
        <x:v>95011.18</x:v>
      </x:c>
      <x:c r="AA485" s="142" t="n">
        <x:v>12565.290827132394</x:v>
      </x:c>
      <x:c r="AB485" s="142" t="n">
        <x:v>12008.288720734952</x:v>
      </x:c>
    </x:row>
    <x:row r="486">
      <x:c r="V486" s="141" t="n">
        <x:v>45776</x:v>
      </x:c>
      <x:c r="W486" s="142" t="n">
        <x:v>95011.18</x:v>
      </x:c>
      <x:c r="X486" s="142" t="n">
        <x:v>95461.53</x:v>
      </x:c>
      <x:c r="Y486" s="142" t="n">
        <x:v>93742.54</x:v>
      </x:c>
      <x:c r="Z486" s="142" t="n">
        <x:v>94256.82</x:v>
      </x:c>
      <x:c r="AA486" s="142" t="n">
        <x:v>12565.290827132394</x:v>
      </x:c>
      <x:c r="AB486" s="142" t="n">
        <x:v>12008.288720734952</x:v>
      </x:c>
    </x:row>
    <x:row r="487">
      <x:c r="V487" s="141" t="n">
        <x:v>45777</x:v>
      </x:c>
      <x:c r="W487" s="142" t="n">
        <x:v>94256.82</x:v>
      </x:c>
      <x:c r="X487" s="142" t="n">
        <x:v>95228.45</x:v>
      </x:c>
      <x:c r="Y487" s="142" t="n">
        <x:v>92910</x:v>
      </x:c>
      <x:c r="Z487" s="142" t="n">
        <x:v>94172</x:v>
      </x:c>
      <x:c r="AA487" s="142" t="n">
        <x:v>12565.290827132394</x:v>
      </x:c>
      <x:c r="AB487" s="142" t="n">
        <x:v>12008.288720734952</x:v>
      </x:c>
    </x:row>
    <x:row r="488">
      <x:c r="V488" s="141" t="n">
        <x:v>45778</x:v>
      </x:c>
      <x:c r="W488" s="142" t="n">
        <x:v>94172</x:v>
      </x:c>
      <x:c r="X488" s="142" t="n">
        <x:v>97424.02</x:v>
      </x:c>
      <x:c r="Y488" s="142" t="n">
        <x:v>94130.43</x:v>
      </x:c>
      <x:c r="Z488" s="142" t="n">
        <x:v>96489.91</x:v>
      </x:c>
      <x:c r="AA488" s="142" t="n">
        <x:v>12565.290827132394</x:v>
      </x:c>
      <x:c r="AB488" s="142" t="n">
        <x:v>12008.288720734952</x:v>
      </x:c>
    </x:row>
    <x:row r="489">
      <x:c r="V489" s="141" t="n">
        <x:v>45779</x:v>
      </x:c>
      <x:c r="W489" s="142" t="n">
        <x:v>96489.9</x:v>
      </x:c>
      <x:c r="X489" s="142" t="n">
        <x:v>97895.68</x:v>
      </x:c>
      <x:c r="Y489" s="142" t="n">
        <x:v>96350</x:v>
      </x:c>
      <x:c r="Z489" s="142" t="n">
        <x:v>96887.14</x:v>
      </x:c>
      <x:c r="AA489" s="142" t="n">
        <x:v>12565.290827132394</x:v>
      </x:c>
      <x:c r="AB489" s="142" t="n">
        <x:v>12008.288720734952</x:v>
      </x:c>
    </x:row>
    <x:row r="490">
      <x:c r="V490" s="141" t="n">
        <x:v>45780</x:v>
      </x:c>
      <x:c r="W490" s="142" t="n">
        <x:v>96887.13</x:v>
      </x:c>
      <x:c r="X490" s="142" t="n">
        <x:v>96935.67</x:v>
      </x:c>
      <x:c r="Y490" s="142" t="n">
        <x:v>95753.01</x:v>
      </x:c>
      <x:c r="Z490" s="142" t="n">
        <x:v>95856.42</x:v>
      </x:c>
      <x:c r="AA490" s="142" t="n">
        <x:v>12565.290827132394</x:v>
      </x:c>
      <x:c r="AB490" s="142" t="n">
        <x:v>12008.288720734952</x:v>
      </x:c>
    </x:row>
    <x:row r="491">
      <x:c r="V491" s="141" t="n">
        <x:v>45781</x:v>
      </x:c>
      <x:c r="W491" s="142" t="n">
        <x:v>95856.42</x:v>
      </x:c>
      <x:c r="X491" s="142" t="n">
        <x:v>96304.48</x:v>
      </x:c>
      <x:c r="Y491" s="142" t="n">
        <x:v>94151.38</x:v>
      </x:c>
      <x:c r="Z491" s="142" t="n">
        <x:v>94277.62</x:v>
      </x:c>
      <x:c r="AA491" s="142" t="n">
        <x:v>12565.290827132394</x:v>
      </x:c>
      <x:c r="AB491" s="142" t="n">
        <x:v>12008.288720734952</x:v>
      </x:c>
    </x:row>
    <x:row r="492">
      <x:c r="V492" s="141" t="n">
        <x:v>45782</x:v>
      </x:c>
      <x:c r="W492" s="142" t="n">
        <x:v>94277.61</x:v>
      </x:c>
      <x:c r="X492" s="142" t="n">
        <x:v>95199</x:v>
      </x:c>
      <x:c r="Y492" s="142" t="n">
        <x:v>93514.1</x:v>
      </x:c>
      <x:c r="Z492" s="142" t="n">
        <x:v>94733.68</x:v>
      </x:c>
      <x:c r="AA492" s="142" t="n">
        <x:v>12565.290827132394</x:v>
      </x:c>
      <x:c r="AB492" s="142" t="n">
        <x:v>12008.288720734952</x:v>
      </x:c>
    </x:row>
    <x:row r="493">
      <x:c r="V493" s="141" t="n">
        <x:v>45783</x:v>
      </x:c>
      <x:c r="W493" s="142" t="n">
        <x:v>94733.68</x:v>
      </x:c>
      <x:c r="X493" s="142" t="n">
        <x:v>96920.65</x:v>
      </x:c>
      <x:c r="Y493" s="142" t="n">
        <x:v>93377</x:v>
      </x:c>
      <x:c r="Z493" s="142" t="n">
        <x:v>96834.02</x:v>
      </x:c>
      <x:c r="AA493" s="142" t="n">
        <x:v>12565.290827132394</x:v>
      </x:c>
      <x:c r="AB493" s="142" t="n">
        <x:v>12008.288720734952</x:v>
      </x:c>
    </x:row>
    <x:row r="494">
      <x:c r="V494" s="141" t="n">
        <x:v>45784</x:v>
      </x:c>
      <x:c r="W494" s="142" t="n">
        <x:v>96834.02</x:v>
      </x:c>
      <x:c r="X494" s="142" t="n">
        <x:v>97732</x:v>
      </x:c>
      <x:c r="Y494" s="142" t="n">
        <x:v>95784.61</x:v>
      </x:c>
      <x:c r="Z494" s="142" t="n">
        <x:v>97030.5</x:v>
      </x:c>
      <x:c r="AA494" s="142" t="n">
        <x:v>12565.290827132394</x:v>
      </x:c>
      <x:c r="AB494" s="142" t="n">
        <x:v>12008.288720734952</x:v>
      </x:c>
    </x:row>
    <x:row r="495">
      <x:c r="V495" s="141" t="n">
        <x:v>45785</x:v>
      </x:c>
      <x:c r="W495" s="142" t="n">
        <x:v>97030.5</x:v>
      </x:c>
      <x:c r="X495" s="142" t="n">
        <x:v>104145.76</x:v>
      </x:c>
      <x:c r="Y495" s="142" t="n">
        <x:v>96876.29</x:v>
      </x:c>
      <x:c r="Z495" s="142" t="n">
        <x:v>103261.6</x:v>
      </x:c>
      <x:c r="AA495" s="142" t="n">
        <x:v>12565.290827132394</x:v>
      </x:c>
      <x:c r="AB495" s="142" t="n">
        <x:v>12008.288720734952</x:v>
      </x:c>
    </x:row>
    <x:row r="496">
      <x:c r="V496" s="141" t="n">
        <x:v>45786</x:v>
      </x:c>
      <x:c r="W496" s="142" t="n">
        <x:v>103261.61</x:v>
      </x:c>
      <x:c r="X496" s="142" t="n">
        <x:v>104361.3</x:v>
      </x:c>
      <x:c r="Y496" s="142" t="n">
        <x:v>102315.14</x:v>
      </x:c>
      <x:c r="Z496" s="142" t="n">
        <x:v>102971.99</x:v>
      </x:c>
      <x:c r="AA496" s="142" t="n">
        <x:v>12565.290827132394</x:v>
      </x:c>
      <x:c r="AB496" s="142" t="n">
        <x:v>12008.288720734952</x:v>
      </x:c>
    </x:row>
    <x:row r="497">
      <x:c r="V497" s="141" t="n">
        <x:v>45787</x:v>
      </x:c>
      <x:c r="W497" s="142" t="n">
        <x:v>102971.99</x:v>
      </x:c>
      <x:c r="X497" s="142" t="n">
        <x:v>104984.57</x:v>
      </x:c>
      <x:c r="Y497" s="142" t="n">
        <x:v>102818.76</x:v>
      </x:c>
      <x:c r="Z497" s="142" t="n">
        <x:v>104809.53</x:v>
      </x:c>
      <x:c r="AA497" s="142" t="n">
        <x:v>12565.290827132394</x:v>
      </x:c>
      <x:c r="AB497" s="142" t="n">
        <x:v>12008.288720734952</x:v>
      </x:c>
    </x:row>
    <x:row r="498">
      <x:c r="V498" s="141" t="n">
        <x:v>45788</x:v>
      </x:c>
      <x:c r="W498" s="142" t="n">
        <x:v>104809.53</x:v>
      </x:c>
      <x:c r="X498" s="142" t="n">
        <x:v>104972</x:v>
      </x:c>
      <x:c r="Y498" s="142" t="n">
        <x:v>103345.06</x:v>
      </x:c>
      <x:c r="Z498" s="142" t="n">
        <x:v>104118</x:v>
      </x:c>
      <x:c r="AA498" s="142" t="n">
        <x:v>12565.290827132394</x:v>
      </x:c>
      <x:c r="AB498" s="142" t="n">
        <x:v>12008.288720734952</x:v>
      </x:c>
    </x:row>
    <x:row r="499">
      <x:c r="V499" s="141" t="n">
        <x:v>45789</x:v>
      </x:c>
      <x:c r="W499" s="142" t="n">
        <x:v>104118</x:v>
      </x:c>
      <x:c r="X499" s="142" t="n">
        <x:v>105819.45</x:v>
      </x:c>
      <x:c r="Y499" s="142" t="n">
        <x:v>100718.37</x:v>
      </x:c>
      <x:c r="Z499" s="142" t="n">
        <x:v>102791.32</x:v>
      </x:c>
      <x:c r="AA499" s="142" t="n">
        <x:v>12565.290827132394</x:v>
      </x:c>
      <x:c r="AB499" s="142" t="n">
        <x:v>12008.288720734952</x:v>
      </x:c>
    </x:row>
    <x:row r="500">
      <x:c r="V500" s="141" t="n">
        <x:v>45790</x:v>
      </x:c>
      <x:c r="W500" s="142" t="n">
        <x:v>102791.32</x:v>
      </x:c>
      <x:c r="X500" s="142" t="n">
        <x:v>104976.25</x:v>
      </x:c>
      <x:c r="Y500" s="142" t="n">
        <x:v>101429.7</x:v>
      </x:c>
      <x:c r="Z500" s="142" t="n">
        <x:v>104103.72</x:v>
      </x:c>
      <x:c r="AA500" s="142" t="n">
        <x:v>12565.290827132394</x:v>
      </x:c>
      <x:c r="AB500" s="142" t="n">
        <x:v>12008.288720734952</x:v>
      </x:c>
    </x:row>
    <x:row r="501">
      <x:c r="V501" s="141" t="n">
        <x:v>45791</x:v>
      </x:c>
      <x:c r="W501" s="142" t="n">
        <x:v>104103.72</x:v>
      </x:c>
      <x:c r="X501" s="142" t="n">
        <x:v>104356.95</x:v>
      </x:c>
      <x:c r="Y501" s="142" t="n">
        <x:v>102602.05</x:v>
      </x:c>
      <x:c r="Z501" s="142" t="n">
        <x:v>103507.82</x:v>
      </x:c>
      <x:c r="AA501" s="142" t="n">
        <x:v>12565.290827132394</x:v>
      </x:c>
      <x:c r="AB501" s="142" t="n">
        <x:v>12008.288720734952</x:v>
      </x:c>
    </x:row>
    <x:row r="502">
      <x:c r="V502" s="141" t="n">
        <x:v>45792</x:v>
      </x:c>
      <x:c r="W502" s="142" t="n">
        <x:v>103507.83</x:v>
      </x:c>
      <x:c r="X502" s="142" t="n">
        <x:v>104192.7</x:v>
      </x:c>
      <x:c r="Y502" s="142" t="n">
        <x:v>101383.07</x:v>
      </x:c>
      <x:c r="Z502" s="142" t="n">
        <x:v>103763.71</x:v>
      </x:c>
      <x:c r="AA502" s="142" t="n">
        <x:v>12565.290827132394</x:v>
      </x:c>
      <x:c r="AB502" s="142" t="n">
        <x:v>12008.288720734952</x:v>
      </x:c>
    </x:row>
    <x:row r="503">
      <x:c r="V503" s="141" t="n">
        <x:v>45793</x:v>
      </x:c>
      <x:c r="W503" s="142" t="n">
        <x:v>103763.71</x:v>
      </x:c>
      <x:c r="X503" s="142" t="n">
        <x:v>104550.33</x:v>
      </x:c>
      <x:c r="Y503" s="142" t="n">
        <x:v>103100.49</x:v>
      </x:c>
      <x:c r="Z503" s="142" t="n">
        <x:v>103463.9</x:v>
      </x:c>
      <x:c r="AA503" s="142" t="n">
        <x:v>12565.290827132394</x:v>
      </x:c>
      <x:c r="AB503" s="142" t="n">
        <x:v>12008.288720734952</x:v>
      </x:c>
    </x:row>
    <x:row r="504">
      <x:c r="V504" s="141" t="n">
        <x:v>45794</x:v>
      </x:c>
      <x:c r="W504" s="142" t="n">
        <x:v>103463.9</x:v>
      </x:c>
      <x:c r="X504" s="142" t="n">
        <x:v>103709.86</x:v>
      </x:c>
      <x:c r="Y504" s="142" t="n">
        <x:v>102612.5</x:v>
      </x:c>
      <x:c r="Z504" s="142" t="n">
        <x:v>103126.65</x:v>
      </x:c>
      <x:c r="AA504" s="142" t="n">
        <x:v>12565.290827132394</x:v>
      </x:c>
      <x:c r="AB504" s="142" t="n">
        <x:v>12008.288720734952</x:v>
      </x:c>
    </x:row>
    <x:row r="505">
      <x:c r="V505" s="141" t="n">
        <x:v>45795</x:v>
      </x:c>
      <x:c r="W505" s="142" t="n">
        <x:v>103126.65</x:v>
      </x:c>
      <x:c r="X505" s="142" t="n">
        <x:v>106660</x:v>
      </x:c>
      <x:c r="Y505" s="142" t="n">
        <x:v>103105.09</x:v>
      </x:c>
      <x:c r="Z505" s="142" t="n">
        <x:v>106454.26</x:v>
      </x:c>
      <x:c r="AA505" s="142" t="n">
        <x:v>12565.290827132394</x:v>
      </x:c>
      <x:c r="AB505" s="142" t="n">
        <x:v>12008.288720734952</x:v>
      </x:c>
    </x:row>
    <x:row r="506">
      <x:c r="V506" s="141" t="n">
        <x:v>45796</x:v>
      </x:c>
      <x:c r="W506" s="142" t="n">
        <x:v>106454.27</x:v>
      </x:c>
      <x:c r="X506" s="142" t="n">
        <x:v>107108.62</x:v>
      </x:c>
      <x:c r="Y506" s="142" t="n">
        <x:v>102000</x:v>
      </x:c>
      <x:c r="Z506" s="142" t="n">
        <x:v>105573.74</x:v>
      </x:c>
      <x:c r="AA506" s="142" t="n">
        <x:v>12565.290827132394</x:v>
      </x:c>
      <x:c r="AB506" s="142" t="n">
        <x:v>12008.288720734952</x:v>
      </x:c>
    </x:row>
    <x:row r="507">
      <x:c r="V507" s="141" t="n">
        <x:v>45797</x:v>
      </x:c>
      <x:c r="W507" s="142" t="n">
        <x:v>105573.73</x:v>
      </x:c>
      <x:c r="X507" s="142" t="n">
        <x:v>107320</x:v>
      </x:c>
      <x:c r="Y507" s="142" t="n">
        <x:v>104184.72</x:v>
      </x:c>
      <x:c r="Z507" s="142" t="n">
        <x:v>106849.99</x:v>
      </x:c>
      <x:c r="AA507" s="142" t="n">
        <x:v>12565.290827132394</x:v>
      </x:c>
      <x:c r="AB507" s="142" t="n">
        <x:v>12008.288720734952</x:v>
      </x:c>
    </x:row>
    <x:row r="508">
      <x:c r="V508" s="141" t="n">
        <x:v>45798</x:v>
      </x:c>
      <x:c r="W508" s="142" t="n">
        <x:v>106850</x:v>
      </x:c>
      <x:c r="X508" s="142" t="n">
        <x:v>110797.38</x:v>
      </x:c>
      <x:c r="Y508" s="142" t="n">
        <x:v>106100.01</x:v>
      </x:c>
      <x:c r="Z508" s="142" t="n">
        <x:v>109643.99</x:v>
      </x:c>
      <x:c r="AA508" s="142" t="n">
        <x:v>12565.290827132394</x:v>
      </x:c>
      <x:c r="AB508" s="142" t="n">
        <x:v>12008.288720734952</x:v>
      </x:c>
    </x:row>
    <x:row r="509">
      <x:c r="V509" s="141" t="n">
        <x:v>45799</x:v>
      </x:c>
      <x:c r="W509" s="142" t="n">
        <x:v>109643.99</x:v>
      </x:c>
      <x:c r="X509" s="142" t="n">
        <x:v>111980</x:v>
      </x:c>
      <x:c r="Y509" s="142" t="n">
        <x:v>109177.37</x:v>
      </x:c>
      <x:c r="Z509" s="142" t="n">
        <x:v>111696.21</x:v>
      </x:c>
      <x:c r="AA509" s="142" t="n">
        <x:v>12565.290827132394</x:v>
      </x:c>
      <x:c r="AB509" s="142" t="n">
        <x:v>12008.288720734952</x:v>
      </x:c>
    </x:row>
    <x:row r="510">
      <x:c r="V510" s="141" t="n">
        <x:v>45800</x:v>
      </x:c>
      <x:c r="W510" s="142" t="n">
        <x:v>111696.22</x:v>
      </x:c>
      <x:c r="X510" s="142" t="n">
        <x:v>111800</x:v>
      </x:c>
      <x:c r="Y510" s="142" t="n">
        <x:v>106800</x:v>
      </x:c>
      <x:c r="Z510" s="142" t="n">
        <x:v>107318.3</x:v>
      </x:c>
      <x:c r="AA510" s="142" t="n">
        <x:v>12565.290827132394</x:v>
      </x:c>
      <x:c r="AB510" s="142" t="n">
        <x:v>12008.288720734952</x:v>
      </x:c>
    </x:row>
    <x:row r="511">
      <x:c r="V511" s="141" t="n">
        <x:v>45801</x:v>
      </x:c>
      <x:c r="W511" s="142" t="n">
        <x:v>107318.3</x:v>
      </x:c>
      <x:c r="X511" s="142" t="n">
        <x:v>109506.03</x:v>
      </x:c>
      <x:c r="Y511" s="142" t="n">
        <x:v>106875.41</x:v>
      </x:c>
      <x:c r="Z511" s="142" t="n">
        <x:v>107761.91</x:v>
      </x:c>
      <x:c r="AA511" s="142" t="n">
        <x:v>12565.290827132394</x:v>
      </x:c>
      <x:c r="AB511" s="142" t="n">
        <x:v>12008.288720734952</x:v>
      </x:c>
    </x:row>
    <x:row r="512">
      <x:c r="V512" s="141" t="n">
        <x:v>45802</x:v>
      </x:c>
      <x:c r="W512" s="142" t="n">
        <x:v>107761.9</x:v>
      </x:c>
      <x:c r="X512" s="142" t="n">
        <x:v>109299.99</x:v>
      </x:c>
      <x:c r="Y512" s="142" t="n">
        <x:v>106600.64</x:v>
      </x:c>
      <x:c r="Z512" s="142" t="n">
        <x:v>109004.19</x:v>
      </x:c>
      <x:c r="AA512" s="142" t="n">
        <x:v>12565.290827132394</x:v>
      </x:c>
      <x:c r="AB512" s="142" t="n">
        <x:v>12008.288720734952</x:v>
      </x:c>
    </x:row>
    <x:row r="513">
      <x:c r="V513" s="141" t="n">
        <x:v>45803</x:v>
      </x:c>
      <x:c r="W513" s="142" t="n">
        <x:v>109004.2</x:v>
      </x:c>
      <x:c r="X513" s="142" t="n">
        <x:v>110422.22</x:v>
      </x:c>
      <x:c r="Y513" s="142" t="n">
        <x:v>108670.58</x:v>
      </x:c>
      <x:c r="Z513" s="142" t="n">
        <x:v>109434.79</x:v>
      </x:c>
      <x:c r="AA513" s="142" t="n">
        <x:v>12565.290827132394</x:v>
      </x:c>
      <x:c r="AB513" s="142" t="n">
        <x:v>12008.288720734952</x:v>
      </x:c>
    </x:row>
    <x:row r="514">
      <x:c r="V514" s="141" t="n">
        <x:v>45804</x:v>
      </x:c>
      <x:c r="W514" s="142" t="n">
        <x:v>109434.78</x:v>
      </x:c>
      <x:c r="X514" s="142" t="n">
        <x:v>110718</x:v>
      </x:c>
      <x:c r="Y514" s="142" t="n">
        <x:v>107516.57</x:v>
      </x:c>
      <x:c r="Z514" s="142" t="n">
        <x:v>108938.17</x:v>
      </x:c>
      <x:c r="AA514" s="142" t="n">
        <x:v>12565.290827132394</x:v>
      </x:c>
      <x:c r="AB514" s="142" t="n">
        <x:v>12008.288720734952</x:v>
      </x:c>
    </x:row>
    <x:row r="515">
      <x:c r="V515" s="141" t="n">
        <x:v>45805</x:v>
      </x:c>
      <x:c r="W515" s="142" t="n">
        <x:v>108938.17</x:v>
      </x:c>
      <x:c r="X515" s="142" t="n">
        <x:v>109284.7</x:v>
      </x:c>
      <x:c r="Y515" s="142" t="n">
        <x:v>106769.43</x:v>
      </x:c>
      <x:c r="Z515" s="142" t="n">
        <x:v>107781.78</x:v>
      </x:c>
      <x:c r="AA515" s="142" t="n">
        <x:v>12565.290827132394</x:v>
      </x:c>
      <x:c r="AB515" s="142" t="n">
        <x:v>12008.288720734952</x:v>
      </x:c>
    </x:row>
    <x:row r="516">
      <x:c r="V516" s="141" t="n">
        <x:v>45806</x:v>
      </x:c>
      <x:c r="W516" s="142" t="n">
        <x:v>107781.78</x:v>
      </x:c>
      <x:c r="X516" s="142" t="n">
        <x:v>108891.91</x:v>
      </x:c>
      <x:c r="Y516" s="142" t="n">
        <x:v>105322.86</x:v>
      </x:c>
      <x:c r="Z516" s="142" t="n">
        <x:v>105589.75</x:v>
      </x:c>
      <x:c r="AA516" s="142" t="n">
        <x:v>12565.290827132394</x:v>
      </x:c>
      <x:c r="AB516" s="142" t="n">
        <x:v>12008.288720734952</x:v>
      </x:c>
    </x:row>
    <x:row r="517">
      <x:c r="V517" s="141" t="n">
        <x:v>45807</x:v>
      </x:c>
      <x:c r="W517" s="142" t="n">
        <x:v>105589.75</x:v>
      </x:c>
      <x:c r="X517" s="142" t="n">
        <x:v>106313.12</x:v>
      </x:c>
      <x:c r="Y517" s="142" t="n">
        <x:v>103621</x:v>
      </x:c>
      <x:c r="Z517" s="142" t="n">
        <x:v>103985.48</x:v>
      </x:c>
      <x:c r="AA517" s="142" t="n">
        <x:v>12565.290827132394</x:v>
      </x:c>
      <x:c r="AB517" s="142" t="n">
        <x:v>12008.288720734952</x:v>
      </x:c>
    </x:row>
    <x:row r="518">
      <x:c r="V518" s="141" t="n">
        <x:v>45808</x:v>
      </x:c>
      <x:c r="W518" s="142" t="n">
        <x:v>103985.47</x:v>
      </x:c>
      <x:c r="X518" s="142" t="n">
        <x:v>104900</x:v>
      </x:c>
      <x:c r="Y518" s="142" t="n">
        <x:v>103068.55</x:v>
      </x:c>
      <x:c r="Z518" s="142" t="n">
        <x:v>104591.88</x:v>
      </x:c>
      <x:c r="AA518" s="142" t="n">
        <x:v>12565.290827132394</x:v>
      </x:c>
      <x:c r="AB518" s="142" t="n">
        <x:v>12008.288720734952</x:v>
      </x:c>
    </x:row>
    <x:row r="519">
      <x:c r="V519" s="141" t="n">
        <x:v>45809</x:v>
      </x:c>
      <x:c r="W519" s="142" t="n">
        <x:v>104591.88</x:v>
      </x:c>
      <x:c r="X519" s="142" t="n">
        <x:v>105866.91</x:v>
      </x:c>
      <x:c r="Y519" s="142" t="n">
        <x:v>103752.49</x:v>
      </x:c>
      <x:c r="Z519" s="142" t="n">
        <x:v>105642.93</x:v>
      </x:c>
      <x:c r="AA519" s="142" t="n">
        <x:v>12655.781419709943</x:v>
      </x:c>
      <x:c r="AB519" s="142" t="n">
        <x:v>12098.779313312501</x:v>
      </x:c>
    </x:row>
    <x:row r="520">
      <x:c r="V520" s="141" t="n">
        <x:v>45810</x:v>
      </x:c>
      <x:c r="W520" s="142" t="n">
        <x:v>105642.93</x:v>
      </x:c>
      <x:c r="X520" s="142" t="n">
        <x:v>105935.63</x:v>
      </x:c>
      <x:c r="Y520" s="142" t="n">
        <x:v>103659.88</x:v>
      </x:c>
      <x:c r="Z520" s="142" t="n">
        <x:v>105857.99</x:v>
      </x:c>
      <x:c r="AA520" s="142" t="n">
        <x:v>12676.34324535071</x:v>
      </x:c>
      <x:c r="AB520" s="142" t="n">
        <x:v>12119.341138953268</x:v>
      </x:c>
    </x:row>
    <x:row r="521">
      <x:c r="V521" s="141" t="n">
        <x:v>45811</x:v>
      </x:c>
      <x:c r="W521" s="142" t="n">
        <x:v>105858</x:v>
      </x:c>
      <x:c r="X521" s="142" t="n">
        <x:v>106794.67</x:v>
      </x:c>
      <x:c r="Y521" s="142" t="n">
        <x:v>104872.5</x:v>
      </x:c>
      <x:c r="Z521" s="142" t="n">
        <x:v>105376.89</x:v>
      </x:c>
      <x:c r="AA521" s="142" t="n">
        <x:v>12630.34541071957</x:v>
      </x:c>
      <x:c r="AB521" s="142" t="n">
        <x:v>12073.343304322128</x:v>
      </x:c>
    </x:row>
    <x:row r="522">
      <x:c r="V522" s="141" t="n">
        <x:v>45812</x:v>
      </x:c>
      <x:c r="W522" s="142" t="n">
        <x:v>105376.9</x:v>
      </x:c>
      <x:c r="X522" s="142" t="n">
        <x:v>106000</x:v>
      </x:c>
      <x:c r="Y522" s="142" t="n">
        <x:v>104179</x:v>
      </x:c>
      <x:c r="Z522" s="142" t="n">
        <x:v>104696.86</x:v>
      </x:c>
      <x:c r="AA522" s="142" t="n">
        <x:v>12565.327935175581</x:v>
      </x:c>
      <x:c r="AB522" s="142" t="n">
        <x:v>12008.32582877814</x:v>
      </x:c>
    </x:row>
    <x:row r="523">
      <x:c r="V523" s="141" t="n">
        <x:v>45813</x:v>
      </x:c>
      <x:c r="W523" s="142" t="n">
        <x:v>104696.86</x:v>
      </x:c>
      <x:c r="X523" s="142" t="n">
        <x:v>105909.71</x:v>
      </x:c>
      <x:c r="Y523" s="142" t="n">
        <x:v>100372.26</x:v>
      </x:c>
      <x:c r="Z523" s="142" t="n">
        <x:v>101508.68</x:v>
      </x:c>
      <x:c r="AA523" s="142" t="n">
        <x:v>12260.50694907226</x:v>
      </x:c>
      <x:c r="AB523" s="142" t="n">
        <x:v>11703.504842674818</x:v>
      </x:c>
    </x:row>
    <x:row r="524">
      <x:c r="V524" s="141" t="n">
        <x:v>45814</x:v>
      </x:c>
      <x:c r="W524" s="142" t="n">
        <x:v>101508.69</x:v>
      </x:c>
      <x:c r="X524" s="142" t="n">
        <x:v>105333</x:v>
      </x:c>
      <x:c r="Y524" s="142" t="n">
        <x:v>101095.8</x:v>
      </x:c>
      <x:c r="Z524" s="142" t="n">
        <x:v>104288.44</x:v>
      </x:c>
      <x:c r="AA524" s="142" t="n">
        <x:v>12526.279014743133</x:v>
      </x:c>
      <x:c r="AB524" s="142" t="n">
        <x:v>11969.276908345691</x:v>
      </x:c>
    </x:row>
    <x:row r="525">
      <x:c r="V525" s="141" t="n">
        <x:v>45815</x:v>
      </x:c>
      <x:c r="W525" s="142" t="n">
        <x:v>104288.43</x:v>
      </x:c>
      <x:c r="X525" s="142" t="n">
        <x:v>105900</x:v>
      </x:c>
      <x:c r="Y525" s="142" t="n">
        <x:v>103871.09</x:v>
      </x:c>
      <x:c r="Z525" s="142" t="n">
        <x:v>105552.15</x:v>
      </x:c>
      <x:c r="AA525" s="142" t="n">
        <x:v>12647.101969641735</x:v>
      </x:c>
      <x:c r="AB525" s="142" t="n">
        <x:v>12090.099863244293</x:v>
      </x:c>
    </x:row>
    <x:row r="526">
      <x:c r="V526" s="141" t="n">
        <x:v>45816</x:v>
      </x:c>
      <x:c r="W526" s="142" t="n">
        <x:v>105552.15</x:v>
      </x:c>
      <x:c r="X526" s="142" t="n">
        <x:v>106488.14</x:v>
      </x:c>
      <x:c r="Y526" s="142" t="n">
        <x:v>104964.14</x:v>
      </x:c>
      <x:c r="Z526" s="142" t="n">
        <x:v>105734</x:v>
      </x:c>
      <x:c r="AA526" s="142" t="n">
        <x:v>12664.488596595951</x:v>
      </x:c>
      <x:c r="AB526" s="142" t="n">
        <x:v>12107.48649019851</x:v>
      </x:c>
    </x:row>
    <x:row r="527">
      <x:c r="V527" s="141" t="n">
        <x:v>45817</x:v>
      </x:c>
      <x:c r="W527" s="142" t="n">
        <x:v>105734.01</x:v>
      </x:c>
      <x:c r="X527" s="142" t="n">
        <x:v>110530.17</x:v>
      </x:c>
      <x:c r="Y527" s="142" t="n">
        <x:v>105318.37</x:v>
      </x:c>
      <x:c r="Z527" s="142" t="n">
        <x:v>110263.02</x:v>
      </x:c>
      <x:c r="AA527" s="142" t="n">
        <x:v>13097.506915035203</x:v>
      </x:c>
      <x:c r="AB527" s="142" t="n">
        <x:v>12540.504808637761</x:v>
      </x:c>
    </x:row>
    <x:row r="528">
      <x:c r="V528" s="141" t="n">
        <x:v>45818</x:v>
      </x:c>
      <x:c r="W528" s="142" t="n">
        <x:v>110263.02</x:v>
      </x:c>
      <x:c r="X528" s="142" t="n">
        <x:v>110400</x:v>
      </x:c>
      <x:c r="Y528" s="142" t="n">
        <x:v>108331.03</x:v>
      </x:c>
      <x:c r="Z528" s="142" t="n">
        <x:v>110274.39</x:v>
      </x:c>
      <x:c r="AA528" s="142" t="n">
        <x:v>13098.593997512351</x:v>
      </x:c>
      <x:c r="AB528" s="142" t="n">
        <x:v>12541.59189111491</x:v>
      </x:c>
    </x:row>
    <x:row r="529">
      <x:c r="V529" s="141" t="n">
        <x:v>45819</x:v>
      </x:c>
      <x:c r="W529" s="142" t="n">
        <x:v>110274.39</x:v>
      </x:c>
      <x:c r="X529" s="142" t="n">
        <x:v>110392.01</x:v>
      </x:c>
      <x:c r="Y529" s="142" t="n">
        <x:v>108064</x:v>
      </x:c>
      <x:c r="Z529" s="142" t="n">
        <x:v>108645.12</x:v>
      </x:c>
      <x:c r="AA529" s="142" t="n">
        <x:v>12942.81995463254</x:v>
      </x:c>
      <x:c r="AB529" s="142" t="n">
        <x:v>12385.817848235098</x:v>
      </x:c>
    </x:row>
    <x:row r="530">
      <x:c r="V530" s="141" t="n">
        <x:v>45820</x:v>
      </x:c>
      <x:c r="W530" s="142" t="n">
        <x:v>108645.13</x:v>
      </x:c>
      <x:c r="X530" s="142" t="n">
        <x:v>108813.55</x:v>
      </x:c>
      <x:c r="Y530" s="142" t="n">
        <x:v>105671.72</x:v>
      </x:c>
      <x:c r="Z530" s="142" t="n">
        <x:v>105671.73</x:v>
      </x:c>
      <x:c r="AA530" s="142" t="n">
        <x:v>12658.534979546519</x:v>
      </x:c>
      <x:c r="AB530" s="142" t="n">
        <x:v>12101.532873149077</x:v>
      </x:c>
    </x:row>
    <x:row r="531">
      <x:c r="V531" s="141" t="n">
        <x:v>45821</x:v>
      </x:c>
      <x:c r="W531" s="142" t="n">
        <x:v>105671.74</x:v>
      </x:c>
      <x:c r="X531" s="142" t="n">
        <x:v>106179.53</x:v>
      </x:c>
      <x:c r="Y531" s="142" t="n">
        <x:v>102664.31</x:v>
      </x:c>
      <x:c r="Z531" s="142" t="n">
        <x:v>106066.59</x:v>
      </x:c>
      <x:c r="AA531" s="142" t="n">
        <x:v>12696.287432222578</x:v>
      </x:c>
      <x:c r="AB531" s="142" t="n">
        <x:v>12139.285325825136</x:v>
      </x:c>
    </x:row>
    <x:row r="532">
      <x:c r="V532" s="141" t="n">
        <x:v>45822</x:v>
      </x:c>
      <x:c r="W532" s="142" t="n">
        <x:v>106066.59</x:v>
      </x:c>
      <x:c r="X532" s="142" t="n">
        <x:v>106252</x:v>
      </x:c>
      <x:c r="Y532" s="142" t="n">
        <x:v>104300</x:v>
      </x:c>
      <x:c r="Z532" s="142" t="n">
        <x:v>105414.64</x:v>
      </x:c>
      <x:c r="AA532" s="142" t="n">
        <x:v>12633.95467751925</x:v>
      </x:c>
      <x:c r="AB532" s="142" t="n">
        <x:v>12076.952571121808</x:v>
      </x:c>
    </x:row>
    <x:row r="533">
      <x:c r="V533" s="141" t="n">
        <x:v>45823</x:v>
      </x:c>
      <x:c r="W533" s="142" t="n">
        <x:v>105414.63</x:v>
      </x:c>
      <x:c r="X533" s="142" t="n">
        <x:v>106128.57</x:v>
      </x:c>
      <x:c r="Y533" s="142" t="n">
        <x:v>104494.53</x:v>
      </x:c>
      <x:c r="Z533" s="142" t="n">
        <x:v>105594.01</x:v>
      </x:c>
      <x:c r="AA533" s="142" t="n">
        <x:v>12651.104192376426</x:v>
      </x:c>
      <x:c r="AB533" s="142" t="n">
        <x:v>12094.102085978984</x:v>
      </x:c>
    </x:row>
    <x:row r="534">
      <x:c r="V534" s="141" t="n">
        <x:v>45824</x:v>
      </x:c>
      <x:c r="W534" s="142" t="n">
        <x:v>105594.02</x:v>
      </x:c>
      <x:c r="X534" s="142" t="n">
        <x:v>108952.38</x:v>
      </x:c>
      <x:c r="Y534" s="142" t="n">
        <x:v>104980.37</x:v>
      </x:c>
      <x:c r="Z534" s="142" t="n">
        <x:v>106794.53</x:v>
      </x:c>
      <x:c r="AA534" s="142" t="n">
        <x:v>12765.885569286373</x:v>
      </x:c>
      <x:c r="AB534" s="142" t="n">
        <x:v>12208.88346288893</x:v>
      </x:c>
    </x:row>
    <x:row r="535">
      <x:c r="V535" s="141" t="n">
        <x:v>45825</x:v>
      </x:c>
      <x:c r="W535" s="142" t="n">
        <x:v>106794.53</x:v>
      </x:c>
      <x:c r="X535" s="142" t="n">
        <x:v>107771.34</x:v>
      </x:c>
      <x:c r="Y535" s="142" t="n">
        <x:v>103371.02</x:v>
      </x:c>
      <x:c r="Z535" s="142" t="n">
        <x:v>104551.17</x:v>
      </x:c>
      <x:c r="AA535" s="142" t="n">
        <x:v>12551.398555571734</x:v>
      </x:c>
      <x:c r="AB535" s="142" t="n">
        <x:v>11994.396449174292</x:v>
      </x:c>
    </x:row>
    <x:row r="536">
      <x:c r="V536" s="141" t="n">
        <x:v>45826</x:v>
      </x:c>
      <x:c r="W536" s="142" t="n">
        <x:v>104551.17</x:v>
      </x:c>
      <x:c r="X536" s="142" t="n">
        <x:v>105550.27</x:v>
      </x:c>
      <x:c r="Y536" s="142" t="n">
        <x:v>103500</x:v>
      </x:c>
      <x:c r="Z536" s="142" t="n">
        <x:v>104886.78</x:v>
      </x:c>
      <x:c r="AA536" s="142" t="n">
        <x:v>12583.486132542335</x:v>
      </x:c>
      <x:c r="AB536" s="142" t="n">
        <x:v>12026.484026144894</x:v>
      </x:c>
    </x:row>
    <x:row r="537">
      <x:c r="V537" s="141" t="n">
        <x:v>45827</x:v>
      </x:c>
      <x:c r="W537" s="142" t="n">
        <x:v>104886.79</x:v>
      </x:c>
      <x:c r="X537" s="142" t="n">
        <x:v>105226.17</x:v>
      </x:c>
      <x:c r="Y537" s="142" t="n">
        <x:v>103929.27</x:v>
      </x:c>
      <x:c r="Z537" s="142" t="n">
        <x:v>104658.59</x:v>
      </x:c>
      <x:c r="AA537" s="142" t="n">
        <x:v>12561.668951323296</x:v>
      </x:c>
      <x:c r="AB537" s="142" t="n">
        <x:v>12004.666844925854</x:v>
      </x:c>
    </x:row>
    <x:row r="538">
      <x:c r="V538" s="141" t="n">
        <x:v>45828</x:v>
      </x:c>
      <x:c r="W538" s="142" t="n">
        <x:v>104658.59</x:v>
      </x:c>
      <x:c r="X538" s="142" t="n">
        <x:v>106524.65</x:v>
      </x:c>
      <x:c r="Y538" s="142" t="n">
        <x:v>102345</x:v>
      </x:c>
      <x:c r="Z538" s="142" t="n">
        <x:v>103297.99</x:v>
      </x:c>
      <x:c r="AA538" s="142" t="n">
        <x:v>12431.58237098838</x:v>
      </x:c>
      <x:c r="AB538" s="142" t="n">
        <x:v>11874.580264590939</x:v>
      </x:c>
    </x:row>
    <x:row r="539">
      <x:c r="V539" s="141" t="n">
        <x:v>45829</x:v>
      </x:c>
      <x:c r="W539" s="142" t="n">
        <x:v>103297.98</x:v>
      </x:c>
      <x:c r="X539" s="142" t="n">
        <x:v>103982.64</x:v>
      </x:c>
      <x:c r="Y539" s="142" t="n">
        <x:v>100837.9</x:v>
      </x:c>
      <x:c r="Z539" s="142" t="n">
        <x:v>102120.01</x:v>
      </x:c>
      <x:c r="AA539" s="142" t="n">
        <x:v>12318.956037089418</x:v>
      </x:c>
      <x:c r="AB539" s="142" t="n">
        <x:v>11761.953930691976</x:v>
      </x:c>
    </x:row>
    <x:row r="540">
      <x:c r="V540" s="141" t="n">
        <x:v>45830</x:v>
      </x:c>
      <x:c r="W540" s="142" t="n">
        <x:v>102120.02</x:v>
      </x:c>
      <x:c r="X540" s="142" t="n">
        <x:v>103399.62</x:v>
      </x:c>
      <x:c r="Y540" s="142" t="n">
        <x:v>98200</x:v>
      </x:c>
      <x:c r="Z540" s="142" t="n">
        <x:v>100963.87</x:v>
      </x:c>
      <x:c r="AA540" s="142" t="n">
        <x:v>12309.19332702053</x:v>
      </x:c>
      <x:c r="AB540" s="142" t="n">
        <x:v>11651.41571300242</x:v>
      </x:c>
    </x:row>
    <x:row r="541">
      <x:c r="V541" s="141" t="n">
        <x:v>45831</x:v>
      </x:c>
      <x:c r="W541" s="142" t="n">
        <x:v>100963.87</x:v>
      </x:c>
      <x:c r="X541" s="142" t="n">
        <x:v>106074.2</x:v>
      </x:c>
      <x:c r="Y541" s="142" t="n">
        <x:v>99613.33</x:v>
      </x:c>
      <x:c r="Z541" s="142" t="n">
        <x:v>105333.93</x:v>
      </x:c>
      <x:c r="AA541" s="142" t="n">
        <x:v>12309.19332702053</x:v>
      </x:c>
      <x:c r="AB541" s="142" t="n">
        <x:v>12069.235910899235</x:v>
      </x:c>
    </x:row>
    <x:row r="542">
      <x:c r="V542" s="141" t="n">
        <x:v>45832</x:v>
      </x:c>
      <x:c r="W542" s="142" t="n">
        <x:v>105333.94</x:v>
      </x:c>
      <x:c r="X542" s="142" t="n">
        <x:v>106290</x:v>
      </x:c>
      <x:c r="Y542" s="142" t="n">
        <x:v>104622.02</x:v>
      </x:c>
      <x:c r="Z542" s="142" t="n">
        <x:v>106083</x:v>
      </x:c>
      <x:c r="AA542" s="142" t="n">
        <x:v>12370.306208585578</x:v>
      </x:c>
      <x:c r="AB542" s="142" t="n">
        <x:v>12140.854281273685</x:v>
      </x:c>
    </x:row>
    <x:row r="543">
      <x:c r="V543" s="141" t="n">
        <x:v>45833</x:v>
      </x:c>
      <x:c r="W543" s="142" t="n">
        <x:v>106083</x:v>
      </x:c>
      <x:c r="X543" s="142" t="n">
        <x:v>108135.3</x:v>
      </x:c>
      <x:c r="Y543" s="142" t="n">
        <x:v>105808.03</x:v>
      </x:c>
      <x:c r="Z543" s="142" t="n">
        <x:v>107340.58</x:v>
      </x:c>
      <x:c r="AA543" s="142" t="n">
        <x:v>12489.696027289789</x:v>
      </x:c>
      <x:c r="AB543" s="142" t="n">
        <x:v>12261.09114860985</x:v>
      </x:c>
    </x:row>
    <x:row r="544">
      <x:c r="V544" s="141" t="n">
        <x:v>45834</x:v>
      </x:c>
      <x:c r="W544" s="142" t="n">
        <x:v>107340.59</x:v>
      </x:c>
      <x:c r="X544" s="142" t="n">
        <x:v>108272.45</x:v>
      </x:c>
      <x:c r="Y544" s="142" t="n">
        <x:v>106562.5</x:v>
      </x:c>
      <x:c r="Z544" s="142" t="n">
        <x:v>106947.06</x:v>
      </x:c>
      <x:c r="AA544" s="142" t="n">
        <x:v>12452.33674878943</x:v>
      </x:c>
      <x:c r="AB544" s="142" t="n">
        <x:v>12223.466812953966</x:v>
      </x:c>
    </x:row>
    <x:row r="545">
      <x:c r="V545" s="141" t="n">
        <x:v>45835</x:v>
      </x:c>
      <x:c r="W545" s="142" t="n">
        <x:v>106947.06</x:v>
      </x:c>
      <x:c r="X545" s="142" t="n">
        <x:v>107735.34</x:v>
      </x:c>
      <x:c r="Y545" s="142" t="n">
        <x:v>106356.76</x:v>
      </x:c>
      <x:c r="Z545" s="142" t="n">
        <x:v>107047.59</x:v>
      </x:c>
      <x:c r="AA545" s="142" t="n">
        <x:v>12461.880681162984</x:v>
      </x:c>
      <x:c r="AB545" s="142" t="n">
        <x:v>12233.078457758515</x:v>
      </x:c>
    </x:row>
    <x:row r="546">
      <x:c r="V546" s="141" t="n">
        <x:v>45836</x:v>
      </x:c>
      <x:c r="W546" s="142" t="n">
        <x:v>107047.58</x:v>
      </x:c>
      <x:c r="X546" s="142" t="n">
        <x:v>107577.75</x:v>
      </x:c>
      <x:c r="Y546" s="142" t="n">
        <x:v>106811.51</x:v>
      </x:c>
      <x:c r="Z546" s="142" t="n">
        <x:v>107296.79</x:v>
      </x:c>
      <x:c r="AA546" s="142" t="n">
        <x:v>12485.538772752456</x:v>
      </x:c>
      <x:c r="AB546" s="142" t="n">
        <x:v>12256.904399122222</x:v>
      </x:c>
    </x:row>
    <x:row r="547">
      <x:c r="V547" s="141" t="n">
        <x:v>45837</x:v>
      </x:c>
      <x:c r="W547" s="142" t="n">
        <x:v>107296.79</x:v>
      </x:c>
      <x:c r="X547" s="142" t="n">
        <x:v>108528.5</x:v>
      </x:c>
      <x:c r="Y547" s="142" t="n">
        <x:v>107172.52</x:v>
      </x:c>
      <x:c r="Z547" s="142" t="n">
        <x:v>108356.93</x:v>
      </x:c>
      <x:c r="AA547" s="142" t="n">
        <x:v>12586.184395616274</x:v>
      </x:c>
      <x:c r="AB547" s="142" t="n">
        <x:v>12358.26408402319</x:v>
      </x:c>
    </x:row>
    <x:row r="548">
      <x:c r="V548" s="141" t="n">
        <x:v>45838</x:v>
      </x:c>
      <x:c r="W548" s="142" t="n">
        <x:v>108356.93</x:v>
      </x:c>
      <x:c r="X548" s="142" t="n">
        <x:v>108789.99</x:v>
      </x:c>
      <x:c r="Y548" s="142" t="n">
        <x:v>106733.33</x:v>
      </x:c>
      <x:c r="Z548" s="142" t="n">
        <x:v>107146.5</x:v>
      </x:c>
      <x:c r="AA548" s="142" t="n">
        <x:v>12471.270816953975</x:v>
      </x:c>
      <x:c r="AB548" s="142" t="n">
        <x:v>12242.535214822256</x:v>
      </x:c>
    </x:row>
    <x:row r="549">
      <x:c r="V549" s="141" t="n">
        <x:v>45839</x:v>
      </x:c>
      <x:c r="W549" s="142" t="n">
        <x:v>107146.51</x:v>
      </x:c>
      <x:c r="X549" s="142" t="n">
        <x:v>107540</x:v>
      </x:c>
      <x:c r="Y549" s="142" t="n">
        <x:v>105250.85</x:v>
      </x:c>
      <x:c r="Z549" s="142" t="n">
        <x:v>105681.14</x:v>
      </x:c>
      <x:c r="AA549" s="142" t="n">
        <x:v>12332.155162493502</x:v>
      </x:c>
      <x:c r="AB549" s="142" t="n">
        <x:v>12102.432560581792</x:v>
      </x:c>
    </x:row>
    <x:row r="550">
      <x:c r="V550" s="141" t="n">
        <x:v>45840</x:v>
      </x:c>
      <x:c r="W550" s="142" t="n">
        <x:v>105681.13</x:v>
      </x:c>
      <x:c r="X550" s="142" t="n">
        <x:v>109730</x:v>
      </x:c>
      <x:c r="Y550" s="142" t="n">
        <x:v>105100.19</x:v>
      </x:c>
      <x:c r="Z550" s="142" t="n">
        <x:v>108849.6</x:v>
      </x:c>
      <x:c r="AA550" s="142" t="n">
        <x:v>12632.956594586522</x:v>
      </x:c>
      <x:c r="AB550" s="142" t="n">
        <x:v>12405.36812307479</x:v>
      </x:c>
    </x:row>
    <x:row r="551">
      <x:c r="V551" s="141" t="n">
        <x:v>45841</x:v>
      </x:c>
      <x:c r="W551" s="142" t="n">
        <x:v>108849.59</x:v>
      </x:c>
      <x:c r="X551" s="142" t="n">
        <x:v>110529.18</x:v>
      </x:c>
      <x:c r="Y551" s="142" t="n">
        <x:v>108530.4</x:v>
      </x:c>
      <x:c r="Z551" s="142" t="n">
        <x:v>109584.78</x:v>
      </x:c>
      <x:c r="AA551" s="142" t="n">
        <x:v>12702.751762221948</x:v>
      </x:c>
      <x:c r="AB551" s="142" t="n">
        <x:v>12475.65847448639</x:v>
      </x:c>
    </x:row>
    <x:row r="552">
      <x:c r="V552" s="141" t="n">
        <x:v>45842</x:v>
      </x:c>
      <x:c r="W552" s="142" t="n">
        <x:v>109584.77</x:v>
      </x:c>
      <x:c r="X552" s="142" t="n">
        <x:v>109767.59</x:v>
      </x:c>
      <x:c r="Y552" s="142" t="n">
        <x:v>107245</x:v>
      </x:c>
      <x:c r="Z552" s="142" t="n">
        <x:v>107984.24</x:v>
      </x:c>
      <x:c r="AA552" s="142" t="n">
        <x:v>12550.802637371971</x:v>
      </x:c>
      <x:c r="AB552" s="142" t="n">
        <x:v>12322.631298762997</x:v>
      </x:c>
    </x:row>
    <x:row r="553">
      <x:c r="V553" s="141" t="n">
        <x:v>45843</x:v>
      </x:c>
      <x:c r="W553" s="142" t="n">
        <x:v>107984.25</x:v>
      </x:c>
      <x:c r="X553" s="142" t="n">
        <x:v>108420.56</x:v>
      </x:c>
      <x:c r="Y553" s="142" t="n">
        <x:v>107756.31</x:v>
      </x:c>
      <x:c r="Z553" s="142" t="n">
        <x:v>108198.12</x:v>
      </x:c>
      <x:c r="AA553" s="142" t="n">
        <x:v>12571.1075837169</x:v>
      </x:c>
      <x:c r="AB553" s="142" t="n">
        <x:v>12343.080304938238</x:v>
      </x:c>
    </x:row>
    <x:row r="554">
      <x:c r="V554" s="141" t="n">
        <x:v>45844</x:v>
      </x:c>
      <x:c r="W554" s="142" t="n">
        <x:v>108198.12</x:v>
      </x:c>
      <x:c r="X554" s="142" t="n">
        <x:v>109700</x:v>
      </x:c>
      <x:c r="Y554" s="142" t="n">
        <x:v>107800.01</x:v>
      </x:c>
      <x:c r="Z554" s="142" t="n">
        <x:v>109203.84</x:v>
      </x:c>
      <x:c r="AA554" s="142" t="n">
        <x:v>12666.586780640511</x:v>
      </x:c>
      <x:c r="AB554" s="142" t="n">
        <x:v>12439.236909064677</x:v>
      </x:c>
    </x:row>
    <x:row r="555">
      <x:c r="V555" s="141" t="n">
        <x:v>45845</x:v>
      </x:c>
      <x:c r="W555" s="142" t="n">
        <x:v>109203.85</x:v>
      </x:c>
      <x:c r="X555" s="142" t="n">
        <x:v>109700</x:v>
      </x:c>
      <x:c r="Y555" s="142" t="n">
        <x:v>107513.2</x:v>
      </x:c>
      <x:c r="Z555" s="142" t="n">
        <x:v>108262.94</x:v>
      </x:c>
      <x:c r="AA555" s="142" t="n">
        <x:v>12577.261345742701</x:v>
      </x:c>
      <x:c r="AB555" s="142" t="n">
        <x:v>12349.277726764865</x:v>
      </x:c>
    </x:row>
    <x:row r="556">
      <x:c r="V556" s="141" t="n">
        <x:v>45846</x:v>
      </x:c>
      <x:c r="W556" s="142" t="n">
        <x:v>108262.94</x:v>
      </x:c>
      <x:c r="X556" s="142" t="n">
        <x:v>109216.56</x:v>
      </x:c>
      <x:c r="Y556" s="142" t="n">
        <x:v>107429.57</x:v>
      </x:c>
      <x:c r="Z556" s="142" t="n">
        <x:v>108922.98</x:v>
      </x:c>
      <x:c r="AA556" s="142" t="n">
        <x:v>12639.923010159697</x:v>
      </x:c>
      <x:c r="AB556" s="142" t="n">
        <x:v>12412.383964075065</x:v>
      </x:c>
    </x:row>
    <x:row r="557">
      <x:c r="V557" s="141" t="n">
        <x:v>45847</x:v>
      </x:c>
      <x:c r="W557" s="142" t="n">
        <x:v>108922.99</x:v>
      </x:c>
      <x:c r="X557" s="142" t="n">
        <x:v>111999.79</x:v>
      </x:c>
      <x:c r="Y557" s="142" t="n">
        <x:v>108324.53</x:v>
      </x:c>
      <x:c r="Z557" s="142" t="n">
        <x:v>111233.99</x:v>
      </x:c>
      <x:c r="AA557" s="142" t="n">
        <x:v>12859.32143008019</x:v>
      </x:c>
      <x:c r="AB557" s="142" t="n">
        <x:v>12633.338975114164</x:v>
      </x:c>
    </x:row>
    <x:row r="558">
      <x:c r="V558" s="141" t="n">
        <x:v>45848</x:v>
      </x:c>
      <x:c r="W558" s="142" t="n">
        <x:v>111234</x:v>
      </x:c>
      <x:c r="X558" s="142" t="n">
        <x:v>116868</x:v>
      </x:c>
      <x:c r="Y558" s="142" t="n">
        <x:v>110500</x:v>
      </x:c>
      <x:c r="Z558" s="142" t="n">
        <x:v>116010</x:v>
      </x:c>
      <x:c r="AA558" s="142" t="n">
        <x:v>13312.73748951934</x:v>
      </x:c>
      <x:c r="AB558" s="142" t="n">
        <x:v>13089.971937443554</x:v>
      </x:c>
    </x:row>
    <x:row r="559">
      <x:c r="V559" s="141" t="n">
        <x:v>45849</x:v>
      </x:c>
      <x:c r="W559" s="142" t="n">
        <x:v>116010.01</x:v>
      </x:c>
      <x:c r="X559" s="142" t="n">
        <x:v>118869.98</x:v>
      </x:c>
      <x:c r="Y559" s="142" t="n">
        <x:v>115222.22</x:v>
      </x:c>
      <x:c r="Z559" s="142" t="n">
        <x:v>117527.66</x:v>
      </x:c>
      <x:c r="AA559" s="142" t="n">
        <x:v>13456.818305256415</x:v>
      </x:c>
      <x:c r="AB559" s="142" t="n">
        <x:v>13235.074979859466</x:v>
      </x:c>
    </x:row>
    <x:row r="560">
      <x:c r="V560" s="141" t="n">
        <x:v>45850</x:v>
      </x:c>
      <x:c r="W560" s="142" t="n">
        <x:v>117527.66</x:v>
      </x:c>
      <x:c r="X560" s="142" t="n">
        <x:v>118200</x:v>
      </x:c>
      <x:c r="Y560" s="142" t="n">
        <x:v>116900.05</x:v>
      </x:c>
      <x:c r="Z560" s="142" t="n">
        <x:v>117420</x:v>
      </x:c>
      <x:c r="AA560" s="142" t="n">
        <x:v>13446.597478047255</x:v>
      </x:c>
      <x:c r="AB560" s="142" t="n">
        <x:v>13224.78163777593</x:v>
      </x:c>
    </x:row>
    <x:row r="561">
      <x:c r="V561" s="141" t="n">
        <x:v>45851</x:v>
      </x:c>
      <x:c r="W561" s="142" t="n">
        <x:v>117420</x:v>
      </x:c>
      <x:c r="X561" s="142" t="n">
        <x:v>119488</x:v>
      </x:c>
      <x:c r="Y561" s="142" t="n">
        <x:v>117224.79</x:v>
      </x:c>
      <x:c r="Z561" s="142" t="n">
        <x:v>119086.64</x:v>
      </x:c>
      <x:c r="AA561" s="142" t="n">
        <x:v>13604.82188321049</x:v>
      </x:c>
      <x:c r="AB561" s="142" t="n">
        <x:v>13384.128615763131</x:v>
      </x:c>
    </x:row>
    <x:row r="562">
      <x:c r="V562" s="141" t="n">
        <x:v>45852</x:v>
      </x:c>
      <x:c r="W562" s="142" t="n">
        <x:v>119086.65</x:v>
      </x:c>
      <x:c r="X562" s="142" t="n">
        <x:v>123218</x:v>
      </x:c>
      <x:c r="Y562" s="142" t="n">
        <x:v>118905.18</x:v>
      </x:c>
      <x:c r="Z562" s="142" t="n">
        <x:v>119841.18</x:v>
      </x:c>
      <x:c r="AA562" s="142" t="n">
        <x:v>13676.455014943718</x:v>
      </x:c>
      <x:c r="AB562" s="142" t="n">
        <x:v>13456.269971287096</x:v>
      </x:c>
    </x:row>
    <x:row r="563">
      <x:c r="V563" s="141" t="n">
        <x:v>45853</x:v>
      </x:c>
      <x:c r="W563" s="142" t="n">
        <x:v>119841.17</x:v>
      </x:c>
      <x:c r="X563" s="142" t="n">
        <x:v>119940.83</x:v>
      </x:c>
      <x:c r="Y563" s="142" t="n">
        <x:v>115736.92</x:v>
      </x:c>
      <x:c r="Z563" s="142" t="n">
        <x:v>117758.09</x:v>
      </x:c>
      <x:c r="AA563" s="142" t="n">
        <x:v>13478.69444508371</x:v>
      </x:c>
      <x:c r="AB563" s="142" t="n">
        <x:v>13257.10632684357</x:v>
      </x:c>
    </x:row>
    <x:row r="564">
      <x:c r="V564" s="141" t="n">
        <x:v>45854</x:v>
      </x:c>
      <x:c r="W564" s="142" t="n">
        <x:v>117758.08</x:v>
      </x:c>
      <x:c r="X564" s="142" t="n">
        <x:v>120063.84</x:v>
      </x:c>
      <x:c r="Y564" s="142" t="n">
        <x:v>117017.29</x:v>
      </x:c>
      <x:c r="Z564" s="142" t="n">
        <x:v>118630.43</x:v>
      </x:c>
      <x:c r="AA564" s="142" t="n">
        <x:v>13561.511056709554</x:v>
      </x:c>
      <x:c r="AB564" s="142" t="n">
        <x:v>13340.510506976865</x:v>
      </x:c>
    </x:row>
    <x:row r="565">
      <x:c r="V565" s="141" t="n">
        <x:v>45855</x:v>
      </x:c>
      <x:c r="W565" s="142" t="n">
        <x:v>118630.44</x:v>
      </x:c>
      <x:c r="X565" s="142" t="n">
        <x:v>120998.71</x:v>
      </x:c>
      <x:c r="Y565" s="142" t="n">
        <x:v>117453.57</x:v>
      </x:c>
      <x:c r="Z565" s="142" t="n">
        <x:v>119177.56</x:v>
      </x:c>
      <x:c r="AA565" s="142" t="n">
        <x:v>13613.45347906649</x:v>
      </x:c>
      <x:c r="AB565" s="142" t="n">
        <x:v>13392.821451191656</x:v>
      </x:c>
    </x:row>
    <x:row r="566">
      <x:c r="V566" s="141" t="n">
        <x:v>45856</x:v>
      </x:c>
      <x:c r="W566" s="142" t="n">
        <x:v>119177.56</x:v>
      </x:c>
      <x:c r="X566" s="142" t="n">
        <x:v>120820.71</x:v>
      </x:c>
      <x:c r="Y566" s="142" t="n">
        <x:v>116812.76</x:v>
      </x:c>
      <x:c r="Z566" s="142" t="n">
        <x:v>117924.84</x:v>
      </x:c>
      <x:c r="AA566" s="142" t="n">
        <x:v>13494.525050109973</x:v>
      </x:c>
      <x:c r="AB566" s="142" t="n">
        <x:v>13273.049247077914</x:v>
      </x:c>
    </x:row>
    <x:row r="567">
      <x:c r="V567" s="141" t="n">
        <x:v>45857</x:v>
      </x:c>
      <x:c r="W567" s="142" t="n">
        <x:v>117924.84</x:v>
      </x:c>
      <x:c r="X567" s="142" t="n">
        <x:v>118499.9</x:v>
      </x:c>
      <x:c r="Y567" s="142" t="n">
        <x:v>117277.34</x:v>
      </x:c>
      <x:c r="Z567" s="142" t="n">
        <x:v>117840</x:v>
      </x:c>
      <x:c r="AA567" s="142" t="n">
        <x:v>13486.4706661194</x:v>
      </x:c>
      <x:c r="AB567" s="142" t="n">
        <x:v>13264.937718726</x:v>
      </x:c>
    </x:row>
    <x:row r="568">
      <x:c r="V568" s="141" t="n">
        <x:v>45858</x:v>
      </x:c>
      <x:c r="W568" s="142" t="n">
        <x:v>117840.01</x:v>
      </x:c>
      <x:c r="X568" s="142" t="n">
        <x:v>118856.8</x:v>
      </x:c>
      <x:c r="Y568" s="142" t="n">
        <x:v>116467.02</x:v>
      </x:c>
      <x:c r="Z568" s="142" t="n">
        <x:v>117265.12</x:v>
      </x:c>
      <x:c r="AA568" s="142" t="n">
        <x:v>13431.89376526484</x:v>
      </x:c>
      <x:c r="AB568" s="142" t="n">
        <x:v>13209.973604877008</x:v>
      </x:c>
    </x:row>
    <x:row r="569">
      <x:c r="V569" s="141" t="n">
        <x:v>45859</x:v>
      </x:c>
      <x:c r="W569" s="142" t="n">
        <x:v>117265.11</x:v>
      </x:c>
      <x:c r="X569" s="142" t="n">
        <x:v>119676.73</x:v>
      </x:c>
      <x:c r="Y569" s="142" t="n">
        <x:v>116515</x:v>
      </x:c>
      <x:c r="Z569" s="142" t="n">
        <x:v>117380.36</x:v>
      </x:c>
      <x:c r="AA569" s="142" t="n">
        <x:v>13442.83420858254</x:v>
      </x:c>
      <x:c r="AB569" s="142" t="n">
        <x:v>13220.991668611976</x:v>
      </x:c>
    </x:row>
    <x:row r="570">
      <x:c r="V570" s="141" t="n">
        <x:v>45860</x:v>
      </x:c>
      <x:c r="W570" s="142" t="n">
        <x:v>117380.36</x:v>
      </x:c>
      <x:c r="X570" s="142" t="n">
        <x:v>120247.8</x:v>
      </x:c>
      <x:c r="Y570" s="142" t="n">
        <x:v>116128</x:v>
      </x:c>
      <x:c r="Z570" s="142" t="n">
        <x:v>119954.42</x:v>
      </x:c>
      <x:c r="AA570" s="142" t="n">
        <x:v>13687.205585937267</x:v>
      </x:c>
      <x:c r="AB570" s="142" t="n">
        <x:v>13467.09681558897</x:v>
      </x:c>
    </x:row>
    <x:row r="571">
      <x:c r="V571" s="141" t="n">
        <x:v>45861</x:v>
      </x:c>
      <x:c r="W571" s="142" t="n">
        <x:v>119954.43</x:v>
      </x:c>
      <x:c r="X571" s="142" t="n">
        <x:v>120090</x:v>
      </x:c>
      <x:c r="Y571" s="142" t="n">
        <x:v>117301</x:v>
      </x:c>
      <x:c r="Z571" s="142" t="n">
        <x:v>118755.99</x:v>
      </x:c>
      <x:c r="AA571" s="142" t="n">
        <x:v>13573.431241219885</x:v>
      </x:c>
      <x:c r="AB571" s="142" t="n">
        <x:v>13352.515262986606</x:v>
      </x:c>
    </x:row>
    <x:row r="572">
      <x:c r="V572" s="141" t="n">
        <x:v>45862</x:v>
      </x:c>
      <x:c r="W572" s="142" t="n">
        <x:v>118756</x:v>
      </x:c>
      <x:c r="X572" s="142" t="n">
        <x:v>119450</x:v>
      </x:c>
      <x:c r="Y572" s="142" t="n">
        <x:v>117103.1</x:v>
      </x:c>
      <x:c r="Z572" s="142" t="n">
        <x:v>118340.99</x:v>
      </x:c>
      <x:c r="AA572" s="142" t="n">
        <x:v>13534.032733958124</x:v>
      </x:c>
      <x:c r="AB572" s="142" t="n">
        <x:v>13312.837230619276</x:v>
      </x:c>
    </x:row>
    <x:row r="573">
      <x:c r="V573" s="141" t="n">
        <x:v>45863</x:v>
      </x:c>
      <x:c r="W573" s="142" t="n">
        <x:v>118340.98</x:v>
      </x:c>
      <x:c r="X573" s="142" t="n">
        <x:v>118451.57</x:v>
      </x:c>
      <x:c r="Y573" s="142" t="n">
        <x:v>114723.16</x:v>
      </x:c>
      <x:c r="Z573" s="142" t="n">
        <x:v>117614.31</x:v>
      </x:c>
      <x:c r="AA573" s="142" t="n">
        <x:v>13465.044523700346</x:v>
      </x:c>
      <x:c r="AB573" s="142" t="n">
        <x:v>13243.35956179833</x:v>
      </x:c>
    </x:row>
    <x:row r="574">
      <x:c r="V574" s="141" t="n">
        <x:v>45864</x:v>
      </x:c>
      <x:c r="W574" s="142" t="n">
        <x:v>117614.31</x:v>
      </x:c>
      <x:c r="X574" s="142" t="n">
        <x:v>118297.35</x:v>
      </x:c>
      <x:c r="Y574" s="142" t="n">
        <x:v>117138.38</x:v>
      </x:c>
      <x:c r="Z574" s="142" t="n">
        <x:v>117919.99</x:v>
      </x:c>
      <x:c r="AA574" s="142" t="n">
        <x:v>13494.064609723902</x:v>
      </x:c>
      <x:c r="AB574" s="142" t="n">
        <x:v>13272.585539952659</x:v>
      </x:c>
    </x:row>
    <x:row r="575">
      <x:c r="V575" s="141" t="n">
        <x:v>45865</x:v>
      </x:c>
      <x:c r="W575" s="142" t="n">
        <x:v>117919.99</x:v>
      </x:c>
      <x:c r="X575" s="142" t="n">
        <x:v>119766.65</x:v>
      </x:c>
      <x:c r="Y575" s="142" t="n">
        <x:v>117825.5</x:v>
      </x:c>
      <x:c r="Z575" s="142" t="n">
        <x:v>119415.55</x:v>
      </x:c>
      <x:c r="AA575" s="142" t="n">
        <x:v>13636.047336279084</x:v>
      </x:c>
      <x:c r="AB575" s="142" t="n">
        <x:v>13415.575607632863</x:v>
      </x:c>
    </x:row>
    <x:row r="576">
      <x:c r="V576" s="141" t="n">
        <x:v>45866</x:v>
      </x:c>
      <x:c r="W576" s="142" t="n">
        <x:v>119415.56</x:v>
      </x:c>
      <x:c r="X576" s="142" t="n">
        <x:v>119800</x:v>
      </x:c>
      <x:c r="Y576" s="142" t="n">
        <x:v>117427.5</x:v>
      </x:c>
      <x:c r="Z576" s="142" t="n">
        <x:v>118062.32</x:v>
      </x:c>
      <x:c r="AA576" s="142" t="n">
        <x:v>13507.576873672255</x:v>
      </x:c>
      <x:c r="AB576" s="142" t="n">
        <x:v>13286.193670908904</x:v>
      </x:c>
    </x:row>
    <x:row r="577">
      <x:c r="V577" s="141" t="n">
        <x:v>45867</x:v>
      </x:c>
      <x:c r="W577" s="142" t="n">
        <x:v>118062.32</x:v>
      </x:c>
      <x:c r="X577" s="142" t="n">
        <x:v>119273.36</x:v>
      </x:c>
      <x:c r="Y577" s="142" t="n">
        <x:v>116950.75</x:v>
      </x:c>
      <x:c r="Z577" s="142" t="n">
        <x:v>117950.76</x:v>
      </x:c>
      <x:c r="AA577" s="142" t="n">
        <x:v>13496.985795430995</x:v>
      </x:c>
      <x:c r="AB577" s="142" t="n">
        <x:v>13275.527450930833</x:v>
      </x:c>
    </x:row>
    <x:row r="578">
      <x:c r="V578" s="141" t="n">
        <x:v>45868</x:v>
      </x:c>
      <x:c r="W578" s="142" t="n">
        <x:v>117950.75</x:v>
      </x:c>
      <x:c r="X578" s="142" t="n">
        <x:v>118792</x:v>
      </x:c>
      <x:c r="Y578" s="142" t="n">
        <x:v>115796.23</x:v>
      </x:c>
      <x:c r="Z578" s="142" t="n">
        <x:v>117840.3</x:v>
      </x:c>
      <x:c r="AA578" s="142" t="n">
        <x:v>13486.499146968023</x:v>
      </x:c>
      <x:c r="AB578" s="142" t="n">
        <x:v>13264.966401640964</x:v>
      </x:c>
    </x:row>
    <x:row r="579">
      <x:c r="V579" s="141" t="n">
        <x:v>45869</x:v>
      </x:c>
      <x:c r="W579" s="142" t="n">
        <x:v>117840.29</x:v>
      </x:c>
      <x:c r="X579" s="142" t="n">
        <x:v>118922.45</x:v>
      </x:c>
      <x:c r="Y579" s="142" t="n">
        <x:v>115500</x:v>
      </x:c>
      <x:c r="Z579" s="142" t="n">
        <x:v>115764.08</x:v>
      </x:c>
      <x:c r="AA579" s="142" t="n">
        <x:v>13289.39078854148</x:v>
      </x:c>
      <x:c r="AB579" s="142" t="n">
        <x:v>13066.459595950122</x:v>
      </x:c>
    </x:row>
    <x:row r="580">
      <x:c r="V580" s="141" t="n">
        <x:v>45870</x:v>
      </x:c>
      <x:c r="W580" s="142" t="n">
        <x:v>115764.07</x:v>
      </x:c>
      <x:c r="X580" s="142" t="n">
        <x:v>116052</x:v>
      </x:c>
      <x:c r="Y580" s="142" t="n">
        <x:v>112722.58</x:v>
      </x:c>
      <x:c r="Z580" s="142" t="n">
        <x:v>113297.93</x:v>
      </x:c>
      <x:c r="AA580" s="142" t="n">
        <x:v>13055.263972436433</x:v>
      </x:c>
      <x:c r="AB580" s="142" t="n">
        <x:v>12830.6716934858</x:v>
      </x:c>
    </x:row>
    <x:row r="581">
      <x:c r="V581" s="141" t="n">
        <x:v>45871</x:v>
      </x:c>
      <x:c r="W581" s="142" t="n">
        <x:v>113297.92</x:v>
      </x:c>
      <x:c r="X581" s="142" t="n">
        <x:v>114063.49</x:v>
      </x:c>
      <x:c r="Y581" s="142" t="n">
        <x:v>112003</x:v>
      </x:c>
      <x:c r="Z581" s="142" t="n">
        <x:v>112546.35</x:v>
      </x:c>
      <x:c r="AA581" s="142" t="n">
        <x:v>12983.91185174295</x:v>
      </x:c>
      <x:c r="AB581" s="142" t="n">
        <x:v>12758.813342722817</x:v>
      </x:c>
    </x:row>
    <x:row r="582">
      <x:c r="V582" s="141" t="n">
        <x:v>45872</x:v>
      </x:c>
      <x:c r="W582" s="142" t="n">
        <x:v>112546.35</x:v>
      </x:c>
      <x:c r="X582" s="142" t="n">
        <x:v>114799.97</x:v>
      </x:c>
      <x:c r="Y582" s="142" t="n">
        <x:v>111920</x:v>
      </x:c>
      <x:c r="Z582" s="142" t="n">
        <x:v>114208.8</x:v>
      </x:c>
      <x:c r="AA582" s="142" t="n">
        <x:v>13141.738474387086</x:v>
      </x:c>
      <x:c r="AB582" s="142" t="n">
        <x:v>12917.759715997681</x:v>
      </x:c>
    </x:row>
    <x:row r="583">
      <x:c r="V583" s="141" t="n">
        <x:v>45873</x:v>
      </x:c>
      <x:c r="W583" s="142" t="n">
        <x:v>114208.81</x:v>
      </x:c>
      <x:c r="X583" s="142" t="n">
        <x:v>115720</x:v>
      </x:c>
      <x:c r="Y583" s="142" t="n">
        <x:v>114107.6</x:v>
      </x:c>
      <x:c r="Z583" s="142" t="n">
        <x:v>115055.03</x:v>
      </x:c>
      <x:c r="AA583" s="142" t="n">
        <x:v>13222.076302821111</x:v>
      </x:c>
      <x:c r="AB583" s="142" t="n">
        <x:v>12998.667526431915</x:v>
      </x:c>
    </x:row>
    <x:row r="584">
      <x:c r="V584" s="141" t="n">
        <x:v>45874</x:v>
      </x:c>
      <x:c r="W584" s="142" t="n">
        <x:v>115055.03</x:v>
      </x:c>
      <x:c r="X584" s="142" t="n">
        <x:v>115127.81</x:v>
      </x:c>
      <x:c r="Y584" s="142" t="n">
        <x:v>112650</x:v>
      </x:c>
      <x:c r="Z584" s="142" t="n">
        <x:v>114129.75</x:v>
      </x:c>
      <x:c r="AA584" s="142" t="n">
        <x:v>13134.233770774936</x:v>
      </x:c>
      <x:c r="AB584" s="142" t="n">
        <x:v>12910.201767904578</x:v>
      </x:c>
    </x:row>
    <x:row r="585">
      <x:c r="V585" s="141" t="n">
        <x:v>45875</x:v>
      </x:c>
      <x:c r="W585" s="142" t="n">
        <x:v>114129.75</x:v>
      </x:c>
      <x:c r="X585" s="142" t="n">
        <x:v>115716</x:v>
      </x:c>
      <x:c r="Y585" s="142" t="n">
        <x:v>113355.13</x:v>
      </x:c>
      <x:c r="Z585" s="142" t="n">
        <x:v>114992.27</x:v>
      </x:c>
      <x:c r="AA585" s="142" t="n">
        <x:v>13216.11810928919</x:v>
      </x:c>
      <x:c r="AB585" s="142" t="n">
        <x:v>12992.667060621376</x:v>
      </x:c>
    </x:row>
    <x:row r="586">
      <x:c r="V586" s="141" t="n">
        <x:v>45876</x:v>
      </x:c>
      <x:c r="W586" s="142" t="n">
        <x:v>114992.27</x:v>
      </x:c>
      <x:c r="X586" s="142" t="n">
        <x:v>117621</x:v>
      </x:c>
      <x:c r="Y586" s="142" t="n">
        <x:v>114259</x:v>
      </x:c>
      <x:c r="Z586" s="142" t="n">
        <x:v>117472.01</x:v>
      </x:c>
      <x:c r="AA586" s="142" t="n">
        <x:v>13451.535107836855</x:v>
      </x:c>
      <x:c r="AB586" s="142" t="n">
        <x:v>13229.75429913358</x:v>
      </x:c>
    </x:row>
    <x:row r="587">
      <x:c r="V587" s="141" t="n">
        <x:v>45877</x:v>
      </x:c>
      <x:c r="W587" s="142" t="n">
        <x:v>117472.02</x:v>
      </x:c>
      <x:c r="X587" s="142" t="n">
        <x:v>117630</x:v>
      </x:c>
      <x:c r="Y587" s="142" t="n">
        <x:v>115878.71</x:v>
      </x:c>
      <x:c r="Z587" s="142" t="n">
        <x:v>116674.74</x:v>
      </x:c>
      <x:c r="AA587" s="142" t="n">
        <x:v>13375.845353898098</x:v>
      </x:c>
      <x:c r="AB587" s="142" t="n">
        <x:v>13153.527540421528</x:v>
      </x:c>
    </x:row>
    <x:row r="588">
      <x:c r="V588" s="141" t="n">
        <x:v>45878</x:v>
      </x:c>
      <x:c r="W588" s="142" t="n">
        <x:v>116674.74</x:v>
      </x:c>
      <x:c r="X588" s="142" t="n">
        <x:v>117944.05</x:v>
      </x:c>
      <x:c r="Y588" s="142" t="n">
        <x:v>116299.13</x:v>
      </x:c>
      <x:c r="Z588" s="142" t="n">
        <x:v>116462.25</x:v>
      </x:c>
      <x:c r="AA588" s="142" t="n">
        <x:v>13355.672368818454</x:v>
      </x:c>
      <x:c r="AB588" s="142" t="n">
        <x:v>13133.211431752288</x:v>
      </x:c>
    </x:row>
    <x:row r="589">
      <x:c r="V589" s="141" t="n">
        <x:v>45879</x:v>
      </x:c>
      <x:c r="W589" s="142" t="n">
        <x:v>116462.25</x:v>
      </x:c>
      <x:c r="X589" s="142" t="n">
        <x:v>119311.11</x:v>
      </x:c>
      <x:c r="Y589" s="142" t="n">
        <x:v>116460.63</x:v>
      </x:c>
      <x:c r="Z589" s="142" t="n">
        <x:v>119294.01</x:v>
      </x:c>
      <x:c r="AA589" s="142" t="n">
        <x:v>13624.508795140302</x:v>
      </x:c>
      <x:c r="AB589" s="142" t="n">
        <x:v>13403.955202683646</x:v>
      </x:c>
    </x:row>
    <x:row r="590">
      <x:c r="V590" s="141" t="n">
        <x:v>45880</x:v>
      </x:c>
      <x:c r="W590" s="142" t="n">
        <x:v>119294.27</x:v>
      </x:c>
      <x:c r="X590" s="142" t="n">
        <x:v>122335.16</x:v>
      </x:c>
      <x:c r="Y590" s="142" t="n">
        <x:v>118050.11</x:v>
      </x:c>
      <x:c r="Z590" s="142" t="n">
        <x:v>118686</x:v>
      </x:c>
      <x:c r="AA590" s="142" t="n">
        <x:v>13566.786659236148</x:v>
      </x:c>
      <x:c r="AB590" s="142" t="n">
        <x:v>13345.823538925426</x:v>
      </x:c>
    </x:row>
    <x:row r="591">
      <x:c r="V591" s="141" t="n">
        <x:v>45881</x:v>
      </x:c>
      <x:c r="W591" s="142" t="n">
        <x:v>118686</x:v>
      </x:c>
      <x:c r="X591" s="142" t="n">
        <x:v>120324.43</x:v>
      </x:c>
      <x:c r="Y591" s="142" t="n">
        <x:v>118207.47</x:v>
      </x:c>
      <x:c r="Z591" s="142" t="n">
        <x:v>120134.08</x:v>
      </x:c>
      <x:c r="AA591" s="142" t="n">
        <x:v>13704.261816815937</x:v>
      </x:c>
      <x:c r="AB591" s="142" t="n">
        <x:v>13484.274057263945</x:v>
      </x:c>
    </x:row>
    <x:row r="592">
      <x:c r="V592" s="141" t="n">
        <x:v>45882</x:v>
      </x:c>
      <x:c r="W592" s="142" t="n">
        <x:v>120134.09</x:v>
      </x:c>
      <x:c r="X592" s="142" t="n">
        <x:v>123667.79</x:v>
      </x:c>
      <x:c r="Y592" s="142" t="n">
        <x:v>118920.92</x:v>
      </x:c>
      <x:c r="Z592" s="142" t="n">
        <x:v>123306.43</x:v>
      </x:c>
      <x:c r="AA592" s="142" t="n">
        <x:v>14005.432550579431</x:v>
      </x:c>
      <x:c r="AB592" s="142" t="n">
        <x:v>13787.581541554311</x:v>
      </x:c>
    </x:row>
    <x:row r="593">
      <x:c r="V593" s="141" t="n">
        <x:v>45883</x:v>
      </x:c>
      <x:c r="W593" s="142" t="n">
        <x:v>123306.44</x:v>
      </x:c>
      <x:c r="X593" s="142" t="n">
        <x:v>124474</x:v>
      </x:c>
      <x:c r="Y593" s="142" t="n">
        <x:v>117180</x:v>
      </x:c>
      <x:c r="Z593" s="142" t="n">
        <x:v>118295.09</x:v>
      </x:c>
      <x:c r="AA593" s="142" t="n">
        <x:v>13529.67516411881</x:v>
      </x:c>
      <x:c r="AB593" s="142" t="n">
        <x:v>13308.448744629732</x:v>
      </x:c>
    </x:row>
    <x:row r="594">
      <x:c r="V594" s="141" t="n">
        <x:v>45884</x:v>
      </x:c>
      <x:c r="W594" s="142" t="n">
        <x:v>118295.09</x:v>
      </x:c>
      <x:c r="X594" s="142" t="n">
        <x:v>119216.82</x:v>
      </x:c>
      <x:c r="Y594" s="142" t="n">
        <x:v>116803.99</x:v>
      </x:c>
      <x:c r="Z594" s="142" t="n">
        <x:v>117342.05</x:v>
      </x:c>
      <x:c r="AA594" s="142" t="n">
        <x:v>13439.19720421339</x:v>
      </x:c>
      <x:c r="AB594" s="142" t="n">
        <x:v>13217.328860371032</x:v>
      </x:c>
    </x:row>
    <x:row r="595">
      <x:c r="V595" s="141" t="n">
        <x:v>45885</x:v>
      </x:c>
      <x:c r="W595" s="142" t="n">
        <x:v>117342.04</x:v>
      </x:c>
      <x:c r="X595" s="142" t="n">
        <x:v>117898.99</x:v>
      </x:c>
      <x:c r="Y595" s="142" t="n">
        <x:v>117143.98</x:v>
      </x:c>
      <x:c r="Z595" s="142" t="n">
        <x:v>117380.66</x:v>
      </x:c>
      <x:c r="AA595" s="142" t="n">
        <x:v>13442.862689431164</x:v>
      </x:c>
      <x:c r="AB595" s="142" t="n">
        <x:v>13221.02035152694</x:v>
      </x:c>
    </x:row>
    <x:row r="596">
      <x:c r="V596" s="141" t="n">
        <x:v>45886</x:v>
      </x:c>
      <x:c r="W596" s="142" t="n">
        <x:v>117380.66</x:v>
      </x:c>
      <x:c r="X596" s="142" t="n">
        <x:v>118575</x:v>
      </x:c>
      <x:c r="Y596" s="142" t="n">
        <x:v>117172.21</x:v>
      </x:c>
      <x:c r="Z596" s="142" t="n">
        <x:v>117405.01</x:v>
      </x:c>
      <x:c r="AA596" s="142" t="n">
        <x:v>13445.174384977727</x:v>
      </x:c>
      <x:c r="AB596" s="142" t="n">
        <x:v>13223.348448124878</x:v>
      </x:c>
    </x:row>
    <x:row r="597">
      <x:c r="V597" s="141" t="n">
        <x:v>45887</x:v>
      </x:c>
      <x:c r="W597" s="142" t="n">
        <x:v>117405.01</x:v>
      </x:c>
      <x:c r="X597" s="142" t="n">
        <x:v>117543.75</x:v>
      </x:c>
      <x:c r="Y597" s="142" t="n">
        <x:v>114640.14</x:v>
      </x:c>
      <x:c r="Z597" s="142" t="n">
        <x:v>116227.05</x:v>
      </x:c>
      <x:c r="AA597" s="142" t="n">
        <x:v>13333.343383498053</x:v>
      </x:c>
      <x:c r="AB597" s="142" t="n">
        <x:v>13110.72402642025</x:v>
      </x:c>
    </x:row>
    <x:row r="598">
      <x:c r="V598" s="141" t="n">
        <x:v>45888</x:v>
      </x:c>
      <x:c r="W598" s="142" t="n">
        <x:v>116227.05</x:v>
      </x:c>
      <x:c r="X598" s="142" t="n">
        <x:v>116725.69</x:v>
      </x:c>
      <x:c r="Y598" s="142" t="n">
        <x:v>112732.58</x:v>
      </x:c>
      <x:c r="Z598" s="142" t="n">
        <x:v>112872.94</x:v>
      </x:c>
      <x:c r="AA598" s="142" t="n">
        <x:v>13014.917052915527</x:v>
      </x:c>
      <x:c r="AB598" s="142" t="n">
        <x:v>12790.038520050157</x:v>
      </x:c>
    </x:row>
    <x:row r="599">
      <x:c r="V599" s="141" t="n">
        <x:v>45889</x:v>
      </x:c>
      <x:c r="W599" s="142" t="n">
        <x:v>112872.95</x:v>
      </x:c>
      <x:c r="X599" s="142" t="n">
        <x:v>114615.38</x:v>
      </x:c>
      <x:c r="Y599" s="142" t="n">
        <x:v>112380</x:v>
      </x:c>
      <x:c r="Z599" s="142" t="n">
        <x:v>114271.24</x:v>
      </x:c>
      <x:c r="AA599" s="142" t="n">
        <x:v>13004.20227760189</x:v>
      </x:c>
      <x:c r="AB599" s="142" t="n">
        <x:v>12923.729586698926</x:v>
      </x:c>
    </x:row>
    <x:row r="600">
      <x:c r="V600" s="141" t="n">
        <x:v>45890</x:v>
      </x:c>
      <x:c r="W600" s="142" t="n">
        <x:v>114271.23</x:v>
      </x:c>
      <x:c r="X600" s="142" t="n">
        <x:v>114821.76</x:v>
      </x:c>
      <x:c r="Y600" s="142" t="n">
        <x:v>112015.67</x:v>
      </x:c>
      <x:c r="Z600" s="142" t="n">
        <x:v>112500</x:v>
      </x:c>
      <x:c r="AA600" s="142" t="n">
        <x:v>13004.20227760189</x:v>
      </x:c>
      <x:c r="AB600" s="142" t="n">
        <x:v>12754.381832360825</x:v>
      </x:c>
    </x:row>
    <x:row r="601">
      <x:c r="V601" s="141" t="n">
        <x:v>45891</x:v>
      </x:c>
      <x:c r="W601" s="142" t="n">
        <x:v>112500</x:v>
      </x:c>
      <x:c r="X601" s="142" t="n">
        <x:v>117429.05</x:v>
      </x:c>
      <x:c r="Y601" s="142" t="n">
        <x:v>111684.79</x:v>
      </x:c>
      <x:c r="Z601" s="142" t="n">
        <x:v>116935.99</x:v>
      </x:c>
      <x:c r="AA601" s="142" t="n">
        <x:v>13004.20227760189</x:v>
      </x:c>
      <x:c r="AB601" s="142" t="n">
        <x:v>13178.505578869637</x:v>
      </x:c>
    </x:row>
    <x:row r="602">
      <x:c r="V602" s="141" t="n">
        <x:v>45892</x:v>
      </x:c>
      <x:c r="W602" s="142" t="n">
        <x:v>116936</x:v>
      </x:c>
      <x:c r="X602" s="142" t="n">
        <x:v>117030</x:v>
      </x:c>
      <x:c r="Y602" s="142" t="n">
        <x:v>114560</x:v>
      </x:c>
      <x:c r="Z602" s="142" t="n">
        <x:v>115438.05</x:v>
      </x:c>
      <x:c r="AA602" s="142" t="n">
        <x:v>12866.102291284587</x:v>
      </x:c>
      <x:c r="AB602" s="142" t="n">
        <x:v>13035.287960064048</x:v>
      </x:c>
    </x:row>
    <x:row r="603">
      <x:c r="V603" s="141" t="n">
        <x:v>45893</x:v>
      </x:c>
      <x:c r="W603" s="142" t="n">
        <x:v>115438.06</x:v>
      </x:c>
      <x:c r="X603" s="142" t="n">
        <x:v>115666.68</x:v>
      </x:c>
      <x:c r="Y603" s="142" t="n">
        <x:v>110680</x:v>
      </x:c>
      <x:c r="Z603" s="142" t="n">
        <x:v>113493.59</x:v>
      </x:c>
      <x:c r="AA603" s="142" t="n">
        <x:v>12699.818170055882</x:v>
      </x:c>
      <x:c r="AB603" s="142" t="n">
        <x:v>12849.37869062554</x:v>
      </x:c>
    </x:row>
    <x:row r="604">
      <x:c r="V604" s="141" t="n">
        <x:v>45894</x:v>
      </x:c>
      <x:c r="W604" s="142" t="n">
        <x:v>113493.59</x:v>
      </x:c>
      <x:c r="X604" s="142" t="n">
        <x:v>113667.28</x:v>
      </x:c>
      <x:c r="Y604" s="142" t="n">
        <x:v>109274.1</x:v>
      </x:c>
      <x:c r="Z604" s="142" t="n">
        <x:v>110111.98</x:v>
      </x:c>
      <x:c r="AA604" s="142" t="n">
        <x:v>12690.112554163426</x:v>
      </x:c>
      <x:c r="AB604" s="142" t="n">
        <x:v>12526.063917050382</x:v>
      </x:c>
    </x:row>
    <x:row r="605">
      <x:c r="V605" s="141" t="n">
        <x:v>45895</x:v>
      </x:c>
      <x:c r="W605" s="142" t="n">
        <x:v>110111.98</x:v>
      </x:c>
      <x:c r="X605" s="142" t="n">
        <x:v>112371</x:v>
      </x:c>
      <x:c r="Y605" s="142" t="n">
        <x:v>108666.66</x:v>
      </x:c>
      <x:c r="Z605" s="142" t="n">
        <x:v>111763.22</x:v>
      </x:c>
      <x:c r="AA605" s="142" t="n">
        <x:v>12690.112554163426</x:v>
      </x:c>
      <x:c r="AB605" s="142" t="n">
        <x:v>12683.938505402748</x:v>
      </x:c>
    </x:row>
    <x:row r="606">
      <x:c r="V606" s="141" t="n">
        <x:v>45896</x:v>
      </x:c>
      <x:c r="W606" s="142" t="n">
        <x:v>111763.22</x:v>
      </x:c>
      <x:c r="X606" s="142" t="n">
        <x:v>112625</x:v>
      </x:c>
      <x:c r="Y606" s="142" t="n">
        <x:v>110345.42</x:v>
      </x:c>
      <x:c r="Z606" s="142" t="n">
        <x:v>111262.01</x:v>
      </x:c>
      <x:c r="AA606" s="142" t="n">
        <x:v>12690.112554163426</x:v>
      </x:c>
      <x:c r="AB606" s="142" t="n">
        <x:v>12636.017959371831</x:v>
      </x:c>
    </x:row>
    <x:row r="607">
      <x:c r="V607" s="141" t="n">
        <x:v>45897</x:v>
      </x:c>
      <x:c r="W607" s="142" t="n">
        <x:v>111262.01</x:v>
      </x:c>
      <x:c r="X607" s="142" t="n">
        <x:v>113485.9</x:v>
      </x:c>
      <x:c r="Y607" s="142" t="n">
        <x:v>110862.42</x:v>
      </x:c>
      <x:c r="Z607" s="142" t="n">
        <x:v>112566.9</x:v>
      </x:c>
      <x:c r="AA607" s="142" t="n">
        <x:v>12690.112554163426</x:v>
      </x:c>
      <x:c r="AB607" s="142" t="n">
        <x:v>12760.77812239787</x:v>
      </x:c>
    </x:row>
    <x:row r="608">
      <x:c r="V608" s="141" t="n">
        <x:v>45898</x:v>
      </x:c>
      <x:c r="W608" s="142" t="n">
        <x:v>112566.9</x:v>
      </x:c>
      <x:c r="X608" s="142" t="n">
        <x:v>112638.64</x:v>
      </x:c>
      <x:c r="Y608" s="142" t="n">
        <x:v>107463.9</x:v>
      </x:c>
      <x:c r="Z608" s="142" t="n">
        <x:v>108377.4</x:v>
      </x:c>
      <x:c r="AA608" s="142" t="n">
        <x:v>12690.112554163426</x:v>
      </x:c>
      <x:c r="AB608" s="142" t="n">
        <x:v>12360.221214920924</x:v>
      </x:c>
    </x:row>
    <x:row r="609">
      <x:c r="V609" s="141" t="n">
        <x:v>45899</x:v>
      </x:c>
      <x:c r="W609" s="142" t="n">
        <x:v>108377.4</x:v>
      </x:c>
      <x:c r="X609" s="142" t="n">
        <x:v>108926.15</x:v>
      </x:c>
      <x:c r="Y609" s="142" t="n">
        <x:v>107350.1</x:v>
      </x:c>
      <x:c r="Z609" s="142" t="n">
        <x:v>108816.33</x:v>
      </x:c>
      <x:c r="AA609" s="142" t="n">
        <x:v>12690.112554163426</x:v>
      </x:c>
      <x:c r="AB609" s="142" t="n">
        <x:v>12402.187187805244</x:v>
      </x:c>
    </x:row>
    <x:row r="610">
      <x:c r="V610" s="141" t="n">
        <x:v>45900</x:v>
      </x:c>
      <x:c r="W610" s="142" t="n">
        <x:v>108816.33</x:v>
      </x:c>
      <x:c r="X610" s="142" t="n">
        <x:v>109480.02</x:v>
      </x:c>
      <x:c r="Y610" s="142" t="n">
        <x:v>108076.93</x:v>
      </x:c>
      <x:c r="Z610" s="142" t="n">
        <x:v>108246.35</x:v>
      </x:c>
      <x:c r="AA610" s="142" t="n">
        <x:v>12690.112554163426</x:v>
      </x:c>
      <x:c r="AB610" s="142" t="n">
        <x:v>12347.691561567339</x:v>
      </x:c>
    </x:row>
    <x:row r="611">
      <x:c r="V611" s="141" t="n">
        <x:v>45901</x:v>
      </x:c>
      <x:c r="W611" s="142" t="n">
        <x:v>108246.36</x:v>
      </x:c>
      <x:c r="X611" s="142" t="n">
        <x:v>109912.4</x:v>
      </x:c>
      <x:c r="Y611" s="142" t="n">
        <x:v>107255</x:v>
      </x:c>
      <x:c r="Z611" s="142" t="n">
        <x:v>109237.42</x:v>
      </x:c>
      <x:c r="AA611" s="142" t="n">
        <x:v>12690.112554163426</x:v>
      </x:c>
      <x:c r="AB611" s="142" t="n">
        <x:v>12442.447483346352</x:v>
      </x:c>
    </x:row>
    <x:row r="612">
      <x:c r="V612" s="141" t="n">
        <x:v>45902</x:v>
      </x:c>
      <x:c r="W612" s="142" t="n">
        <x:v>109237.43</x:v>
      </x:c>
      <x:c r="X612" s="142" t="n">
        <x:v>111771.52</x:v>
      </x:c>
      <x:c r="Y612" s="142" t="n">
        <x:v>108393.39</x:v>
      </x:c>
      <x:c r="Z612" s="142" t="n">
        <x:v>111240.01</x:v>
      </x:c>
      <x:c r="AA612" s="142" t="n">
        <x:v>12690.112554163426</x:v>
      </x:c>
      <x:c r="AB612" s="142" t="n">
        <x:v>12633.91454560778</x:v>
      </x:c>
    </x:row>
    <x:row r="613">
      <x:c r="V613" s="141" t="n">
        <x:v>45903</x:v>
      </x:c>
      <x:c r="W613" s="142" t="n">
        <x:v>111240.01</x:v>
      </x:c>
      <x:c r="X613" s="142" t="n">
        <x:v>112575.27</x:v>
      </x:c>
      <x:c r="Y613" s="142" t="n">
        <x:v>110528.71</x:v>
      </x:c>
      <x:c r="Z613" s="142" t="n">
        <x:v>111705.71</x:v>
      </x:c>
      <x:c r="AA613" s="142" t="n">
        <x:v>12690.112554163426</x:v>
      </x:c>
      <x:c r="AB613" s="142" t="n">
        <x:v>12678.439990604085</x:v>
      </x:c>
    </x:row>
    <x:row r="614">
      <x:c r="V614" s="141" t="n">
        <x:v>45904</x:v>
      </x:c>
      <x:c r="W614" s="142" t="n">
        <x:v>111705.72</x:v>
      </x:c>
      <x:c r="X614" s="142" t="n">
        <x:v>112180</x:v>
      </x:c>
      <x:c r="Y614" s="142" t="n">
        <x:v>109329.12</x:v>
      </x:c>
      <x:c r="Z614" s="142" t="n">
        <x:v>110730.87</x:v>
      </x:c>
      <x:c r="AA614" s="142" t="n">
        <x:v>12690.112554163426</x:v>
      </x:c>
      <x:c r="AB614" s="142" t="n">
        <x:v>12585.235814524642</x:v>
      </x:c>
    </x:row>
    <x:row r="615">
      <x:c r="V615" s="141" t="n">
        <x:v>45905</x:v>
      </x:c>
      <x:c r="W615" s="142" t="n">
        <x:v>110730.87</x:v>
      </x:c>
      <x:c r="X615" s="142" t="n">
        <x:v>113384.62</x:v>
      </x:c>
      <x:c r="Y615" s="142" t="n">
        <x:v>110206.96</x:v>
      </x:c>
      <x:c r="Z615" s="142" t="n">
        <x:v>110659.99</x:v>
      </x:c>
      <x:c r="AA615" s="142" t="n">
        <x:v>12690.112554163426</x:v>
      </x:c>
      <x:c r="AB615" s="142" t="n">
        <x:v>12578.458997815735</x:v>
      </x:c>
    </x:row>
    <x:row r="616">
      <x:c r="V616" s="141" t="n">
        <x:v>45906</x:v>
      </x:c>
      <x:c r="W616" s="142" t="n">
        <x:v>110660</x:v>
      </x:c>
      <x:c r="X616" s="142" t="n">
        <x:v>111307.7</x:v>
      </x:c>
      <x:c r="Y616" s="142" t="n">
        <x:v>109977</x:v>
      </x:c>
      <x:c r="Z616" s="142" t="n">
        <x:v>110187.97</x:v>
      </x:c>
      <x:c r="AA616" s="142" t="n">
        <x:v>12690.112554163426</x:v>
      </x:c>
      <x:c r="AB616" s="142" t="n">
        <x:v>12533.329299410849</x:v>
      </x:c>
    </x:row>
    <x:row r="617">
      <x:c r="V617" s="141" t="n">
        <x:v>45907</x:v>
      </x:c>
      <x:c r="W617" s="142" t="n">
        <x:v>110187.98</x:v>
      </x:c>
      <x:c r="X617" s="142" t="n">
        <x:v>111600</x:v>
      </x:c>
      <x:c r="Y617" s="142" t="n">
        <x:v>110180</x:v>
      </x:c>
      <x:c r="Z617" s="142" t="n">
        <x:v>111137.34</x:v>
      </x:c>
      <x:c r="AA617" s="142" t="n">
        <x:v>12690.112554163426</x:v>
      </x:c>
      <x:c r="AB617" s="142" t="n">
        <x:v>12624.098296009819</x:v>
      </x:c>
    </x:row>
    <x:row r="618">
      <x:c r="V618" s="141" t="n">
        <x:v>45908</x:v>
      </x:c>
      <x:c r="W618" s="142" t="n">
        <x:v>111137.35</x:v>
      </x:c>
      <x:c r="X618" s="142" t="n">
        <x:v>112924.37</x:v>
      </x:c>
      <x:c r="Y618" s="142" t="n">
        <x:v>110621.78</x:v>
      </x:c>
      <x:c r="Z618" s="142" t="n">
        <x:v>112065.23</x:v>
      </x:c>
      <x:c r="AA618" s="142" t="n">
        <x:v>12690.112554163426</x:v>
      </x:c>
      <x:c r="AB618" s="142" t="n">
        <x:v>12712.813595897343</x:v>
      </x:c>
    </x:row>
    <x:row r="619">
      <x:c r="V619" s="141" t="n">
        <x:v>45909</x:v>
      </x:c>
      <x:c r="W619" s="142" t="n">
        <x:v>112065.23</x:v>
      </x:c>
      <x:c r="X619" s="142" t="n">
        <x:v>113293.29</x:v>
      </x:c>
      <x:c r="Y619" s="142" t="n">
        <x:v>110766.66</x:v>
      </x:c>
      <x:c r="Z619" s="142" t="n">
        <x:v>111546.39</x:v>
      </x:c>
      <x:c r="AA619" s="142" t="n">
        <x:v>12690.112554163426</x:v>
      </x:c>
      <x:c r="AB619" s="142" t="n">
        <x:v>12663.207450563692</x:v>
      </x:c>
    </x:row>
    <x:row r="620">
      <x:c r="V620" s="141" t="n">
        <x:v>45910</x:v>
      </x:c>
      <x:c r="W620" s="142" t="n">
        <x:v>111546.38</x:v>
      </x:c>
      <x:c r="X620" s="142" t="n">
        <x:v>114313.13</x:v>
      </x:c>
      <x:c r="Y620" s="142" t="n">
        <x:v>110917.45</x:v>
      </x:c>
      <x:c r="Z620" s="142" t="n">
        <x:v>113960</x:v>
      </x:c>
      <x:c r="AA620" s="142" t="n">
        <x:v>12690.112554163426</x:v>
      </x:c>
      <x:c r="AB620" s="142" t="n">
        <x:v>12893.972018520592</x:v>
      </x:c>
    </x:row>
    <x:row r="621">
      <x:c r="V621" s="141" t="n">
        <x:v>45911</x:v>
      </x:c>
      <x:c r="W621" s="142" t="n">
        <x:v>113960</x:v>
      </x:c>
      <x:c r="X621" s="142" t="n">
        <x:v>115488.09</x:v>
      </x:c>
      <x:c r="Y621" s="142" t="n">
        <x:v>113430</x:v>
      </x:c>
      <x:c r="Z621" s="142" t="n">
        <x:v>115482.69</x:v>
      </x:c>
      <x:c r="AA621" s="142" t="n">
        <x:v>12690.112554163426</x:v>
      </x:c>
      <x:c r="AB621" s="142" t="n">
        <x:v>13039.55597781074</x:v>
      </x:c>
    </x:row>
    <x:row r="622">
      <x:c r="V622" s="141" t="n">
        <x:v>45912</x:v>
      </x:c>
      <x:c r="W622" s="142" t="n">
        <x:v>115482.69</x:v>
      </x:c>
      <x:c r="X622" s="142" t="n">
        <x:v>116665.63</x:v>
      </x:c>
      <x:c r="Y622" s="142" t="n">
        <x:v>114740.99</x:v>
      </x:c>
      <x:c r="Z622" s="142" t="n">
        <x:v>116029.42</x:v>
      </x:c>
      <x:c r="AA622" s="142" t="n">
        <x:v>12690.112554163426</x:v>
      </x:c>
      <x:c r="AB622" s="142" t="n">
        <x:v>13091.82867813891</x:v>
      </x:c>
    </x:row>
    <x:row r="623">
      <x:c r="V623" s="141" t="n">
        <x:v>45913</x:v>
      </x:c>
      <x:c r="W623" s="142" t="n">
        <x:v>116029.41</x:v>
      </x:c>
      <x:c r="X623" s="142" t="n">
        <x:v>116298.78</x:v>
      </x:c>
      <x:c r="Y623" s="142" t="n">
        <x:v>115127.27</x:v>
      </x:c>
      <x:c r="Z623" s="142" t="n">
        <x:v>115918.29</x:v>
      </x:c>
      <x:c r="AA623" s="142" t="n">
        <x:v>12690.112554163426</x:v>
      </x:c>
      <x:c r="AB623" s="142" t="n">
        <x:v>13081.203570338956</x:v>
      </x:c>
    </x:row>
    <x:row r="624">
      <x:c r="V624" s="141" t="n">
        <x:v>45914</x:v>
      </x:c>
      <x:c r="W624" s="142" t="n">
        <x:v>115918.29</x:v>
      </x:c>
      <x:c r="X624" s="142" t="n">
        <x:v>116165.19</x:v>
      </x:c>
      <x:c r="Y624" s="142" t="n">
        <x:v>115135</x:v>
      </x:c>
      <x:c r="Z624" s="142" t="n">
        <x:v>115268.01</x:v>
      </x:c>
      <x:c r="AA624" s="142" t="n">
        <x:v>12690.112554163426</x:v>
      </x:c>
      <x:c r="AB624" s="142" t="n">
        <x:v>13019.030483862261</x:v>
      </x:c>
    </x:row>
    <x:row r="625">
      <x:c r="V625" s="141" t="n">
        <x:v>45915</x:v>
      </x:c>
      <x:c r="W625" s="142" t="n">
        <x:v>115268.01</x:v>
      </x:c>
      <x:c r="X625" s="142" t="n">
        <x:v>116757.99</x:v>
      </x:c>
      <x:c r="Y625" s="142" t="n">
        <x:v>114384</x:v>
      </x:c>
      <x:c r="Z625" s="142" t="n">
        <x:v>115349.71</x:v>
      </x:c>
      <x:c r="AA625" s="142" t="n">
        <x:v>12690.112554163426</x:v>
      </x:c>
      <x:c r="AB625" s="142" t="n">
        <x:v>13026.841797704215</x:v>
      </x:c>
    </x:row>
    <x:row r="626">
      <x:c r="V626" s="141" t="n">
        <x:v>45916</x:v>
      </x:c>
      <x:c r="W626" s="142" t="n">
        <x:v>115349.71</x:v>
      </x:c>
      <x:c r="X626" s="142" t="n">
        <x:v>116964.27</x:v>
      </x:c>
      <x:c r="Y626" s="142" t="n">
        <x:v>114737.11</x:v>
      </x:c>
      <x:c r="Z626" s="142" t="n">
        <x:v>116788.96</x:v>
      </x:c>
      <x:c r="AA626" s="142" t="n">
        <x:v>12690.112554163426</x:v>
      </x:c>
      <x:c r="AB626" s="142" t="n">
        <x:v>13164.448082245617</x:v>
      </x:c>
    </x:row>
    <x:row r="627">
      <x:c r="V627" s="141" t="n">
        <x:v>45917</x:v>
      </x:c>
      <x:c r="W627" s="142" t="n">
        <x:v>116788.96</x:v>
      </x:c>
      <x:c r="X627" s="142" t="n">
        <x:v>117286.73</x:v>
      </x:c>
      <x:c r="Y627" s="142" t="n">
        <x:v>114720.81</x:v>
      </x:c>
      <x:c r="Z627" s="142" t="n">
        <x:v>116447.59</x:v>
      </x:c>
      <x:c r="AA627" s="142" t="n">
        <x:v>12690.112554163426</x:v>
      </x:c>
      <x:c r="AB627" s="142" t="n">
        <x:v>13131.809793307697</x:v>
      </x:c>
    </x:row>
    <x:row r="628">
      <x:c r="V628" s="141" t="n">
        <x:v>45918</x:v>
      </x:c>
      <x:c r="W628" s="142" t="n">
        <x:v>116447.6</x:v>
      </x:c>
      <x:c r="X628" s="142" t="n">
        <x:v>117900</x:v>
      </x:c>
      <x:c r="Y628" s="142" t="n">
        <x:v>116092.76</x:v>
      </x:c>
      <x:c r="Z628" s="142" t="n">
        <x:v>117073.53</x:v>
      </x:c>
      <x:c r="AA628" s="142" t="n">
        <x:v>12690.112554163426</x:v>
      </x:c>
      <x:c r="AB628" s="142" t="n">
        <x:v>13191.655739283618</x:v>
      </x:c>
    </x:row>
    <x:row r="629">
      <x:c r="V629" s="141" t="n">
        <x:v>45919</x:v>
      </x:c>
      <x:c r="W629" s="142" t="n">
        <x:v>117073.53</x:v>
      </x:c>
      <x:c r="X629" s="142" t="n">
        <x:v>117459.99</x:v>
      </x:c>
      <x:c r="Y629" s="142" t="n">
        <x:v>115100</x:v>
      </x:c>
      <x:c r="Z629" s="142" t="n">
        <x:v>115632.38</x:v>
      </x:c>
      <x:c r="AA629" s="142" t="n">
        <x:v>12690.112554163426</x:v>
      </x:c>
      <x:c r="AB629" s="142" t="n">
        <x:v>13053.867796280778</x:v>
      </x:c>
    </x:row>
    <x:row r="630">
      <x:c r="V630" s="141" t="n">
        <x:v>45920</x:v>
      </x:c>
      <x:c r="W630" s="142" t="n">
        <x:v>115632.39</x:v>
      </x:c>
      <x:c r="X630" s="142" t="n">
        <x:v>116121.81</x:v>
      </x:c>
      <x:c r="Y630" s="142" t="n">
        <x:v>115408.47</x:v>
      </x:c>
      <x:c r="Z630" s="142" t="n">
        <x:v>115685.63</x:v>
      </x:c>
      <x:c r="AA630" s="142" t="n">
        <x:v>12690.112554163426</x:v>
      </x:c>
      <x:c r="AB630" s="142" t="n">
        <x:v>13058.959013686948</x:v>
      </x:c>
    </x:row>
    <x:row r="631">
      <x:c r="V631" s="141" t="n">
        <x:v>45921</x:v>
      </x:c>
      <x:c r="W631" s="142" t="n">
        <x:v>115685.63</x:v>
      </x:c>
      <x:c r="X631" s="142" t="n">
        <x:v>115819.06</x:v>
      </x:c>
      <x:c r="Y631" s="142" t="n">
        <x:v>115188</x:v>
      </x:c>
      <x:c r="Z631" s="142" t="n">
        <x:v>115232.29</x:v>
      </x:c>
      <x:c r="AA631" s="142" t="n">
        <x:v>12690.112554163426</x:v>
      </x:c>
      <x:c r="AB631" s="142" t="n">
        <x:v>13015.615304787174</x:v>
      </x:c>
    </x:row>
    <x:row r="632">
      <x:c r="V632" s="141" t="n">
        <x:v>45922</x:v>
      </x:c>
      <x:c r="W632" s="142" t="n">
        <x:v>115232.29</x:v>
      </x:c>
      <x:c r="X632" s="142" t="n">
        <x:v>115379.25</x:v>
      </x:c>
      <x:c r="Y632" s="142" t="n">
        <x:v>111800</x:v>
      </x:c>
      <x:c r="Z632" s="142" t="n">
        <x:v>112650.99</x:v>
      </x:c>
      <x:c r="AA632" s="142" t="n">
        <x:v>12690.112554163426</x:v>
      </x:c>
      <x:c r="AB632" s="142" t="n">
        <x:v>12768.817943462376</x:v>
      </x:c>
    </x:row>
    <x:row r="633">
      <x:c r="V633" s="141" t="n">
        <x:v>45923</x:v>
      </x:c>
      <x:c r="W633" s="142" t="n">
        <x:v>112650.99</x:v>
      </x:c>
      <x:c r="X633" s="142" t="n">
        <x:v>113290.5</x:v>
      </x:c>
      <x:c r="Y633" s="142" t="n">
        <x:v>111458.73</x:v>
      </x:c>
      <x:c r="Z633" s="142" t="n">
        <x:v>111998.8</x:v>
      </x:c>
      <x:c r="AA633" s="142" t="n">
        <x:v>12690.112554163426</x:v>
      </x:c>
      <x:c r="AB633" s="142" t="n">
        <x:v>12706.462242427076</x:v>
      </x:c>
    </x:row>
    <x:row r="634">
      <x:c r="V634" s="141" t="n">
        <x:v>45924</x:v>
      </x:c>
      <x:c r="W634" s="142" t="n">
        <x:v>111998.8</x:v>
      </x:c>
      <x:c r="X634" s="142" t="n">
        <x:v>113940</x:v>
      </x:c>
      <x:c r="Y634" s="142" t="n">
        <x:v>111042.66</x:v>
      </x:c>
      <x:c r="Z634" s="142" t="n">
        <x:v>113307</x:v>
      </x:c>
      <x:c r="AA634" s="142" t="n">
        <x:v>12690.112554163426</x:v>
      </x:c>
      <x:c r="AB634" s="142" t="n">
        <x:v>12831.538873614889</x:v>
      </x:c>
    </x:row>
    <x:row r="635">
      <x:c r="V635" s="141" t="n">
        <x:v>45925</x:v>
      </x:c>
      <x:c r="W635" s="142" t="n">
        <x:v>113307.01</x:v>
      </x:c>
      <x:c r="X635" s="142" t="n">
        <x:v>113510.23</x:v>
      </x:c>
      <x:c r="Y635" s="142" t="n">
        <x:v>108631.51</x:v>
      </x:c>
      <x:c r="Z635" s="142" t="n">
        <x:v>108994.49</x:v>
      </x:c>
      <x:c r="AA635" s="142" t="n">
        <x:v>12690.112554163426</x:v>
      </x:c>
      <x:c r="AB635" s="142" t="n">
        <x:v>12419.221014905399</x:v>
      </x:c>
    </x:row>
    <x:row r="636">
      <x:c r="V636" s="141" t="n">
        <x:v>45926</x:v>
      </x:c>
      <x:c r="W636" s="142" t="n">
        <x:v>108994.49</x:v>
      </x:c>
      <x:c r="X636" s="142" t="n">
        <x:v>110300</x:v>
      </x:c>
      <x:c r="Y636" s="142" t="n">
        <x:v>108620.07</x:v>
      </x:c>
      <x:c r="Z636" s="142" t="n">
        <x:v>109643.46</x:v>
      </x:c>
      <x:c r="AA636" s="142" t="n">
        <x:v>12690.112554163426</x:v>
      </x:c>
      <x:c r="AB636" s="142" t="n">
        <x:v>12481.268852653415</x:v>
      </x:c>
    </x:row>
    <x:row r="637">
      <x:c r="V637" s="141" t="n">
        <x:v>45927</x:v>
      </x:c>
      <x:c r="W637" s="142" t="n">
        <x:v>109643.46</x:v>
      </x:c>
      <x:c r="X637" s="142" t="n">
        <x:v>109743.91</x:v>
      </x:c>
      <x:c r="Y637" s="142" t="n">
        <x:v>109064.4</x:v>
      </x:c>
      <x:c r="Z637" s="142" t="n">
        <x:v>109635.85</x:v>
      </x:c>
      <x:c r="AA637" s="142" t="n">
        <x:v>12690.112554163426</x:v>
      </x:c>
      <x:c r="AB637" s="142" t="n">
        <x:v>12480.541262710487</x:v>
      </x:c>
    </x:row>
    <x:row r="638">
      <x:c r="V638" s="141" t="n">
        <x:v>45928</x:v>
      </x:c>
      <x:c r="W638" s="142" t="n">
        <x:v>109635.85</x:v>
      </x:c>
      <x:c r="X638" s="142" t="n">
        <x:v>112350</x:v>
      </x:c>
      <x:c r="Y638" s="142" t="n">
        <x:v>109189.99</x:v>
      </x:c>
      <x:c r="Z638" s="142" t="n">
        <x:v>112163.95</x:v>
      </x:c>
      <x:c r="AA638" s="142" t="n">
        <x:v>12690.112554163426</x:v>
      </x:c>
      <x:c r="AB638" s="142" t="n">
        <x:v>12722.252187114942</x:v>
      </x:c>
    </x:row>
    <x:row r="639">
      <x:c r="V639" s="141" t="n">
        <x:v>45929</x:v>
      </x:c>
      <x:c r="W639" s="142" t="n">
        <x:v>112163.96</x:v>
      </x:c>
      <x:c r="X639" s="142" t="n">
        <x:v>114400</x:v>
      </x:c>
      <x:c r="Y639" s="142" t="n">
        <x:v>111560.65</x:v>
      </x:c>
      <x:c r="Z639" s="142" t="n">
        <x:v>114311.96</x:v>
      </x:c>
      <x:c r="AA639" s="142" t="n">
        <x:v>12690.112554163426</x:v>
      </x:c>
      <x:c r="AB639" s="142" t="n">
        <x:v>12927.622814356751</x:v>
      </x:c>
    </x:row>
    <x:row r="640">
      <x:c r="V640" s="141" t="n">
        <x:v>45930</x:v>
      </x:c>
      <x:c r="W640" s="142" t="n">
        <x:v>114311.97</x:v>
      </x:c>
      <x:c r="X640" s="142" t="n">
        <x:v>114792</x:v>
      </x:c>
      <x:c r="Y640" s="142" t="n">
        <x:v>112656.27</x:v>
      </x:c>
      <x:c r="Z640" s="142" t="n">
        <x:v>114048.93</x:v>
      </x:c>
      <x:c r="AA640" s="142" t="n">
        <x:v>12657.101840587236</x:v>
      </x:c>
      <x:c r="AB640" s="142" t="n">
        <x:v>12902.474590613187</x:v>
      </x:c>
    </x:row>
    <x:row r="641">
      <x:c r="V641" s="141" t="n">
        <x:v>45931</x:v>
      </x:c>
      <x:c r="W641" s="142" t="n">
        <x:v>114048.94</x:v>
      </x:c>
      <x:c r="X641" s="142" t="n">
        <x:v>118649.1</x:v>
      </x:c>
      <x:c r="Y641" s="142" t="n">
        <x:v>113966.67</x:v>
      </x:c>
      <x:c r="Z641" s="142" t="n">
        <x:v>118594.99</x:v>
      </x:c>
      <x:c r="AA641" s="142" t="n">
        <x:v>13054.790726536801</x:v>
      </x:c>
      <x:c r="AB641" s="142" t="n">
        <x:v>13337.122098622414</x:v>
      </x:c>
    </x:row>
    <x:row r="642">
      <x:c r="V642" s="141" t="n">
        <x:v>45932</x:v>
      </x:c>
      <x:c r="W642" s="142" t="n">
        <x:v>118594.99</x:v>
      </x:c>
      <x:c r="X642" s="142" t="n">
        <x:v>121022.07</x:v>
      </x:c>
      <x:c r="Y642" s="142" t="n">
        <x:v>118279.31</x:v>
      </x:c>
      <x:c r="Z642" s="142" t="n">
        <x:v>120529.35</x:v>
      </x:c>
      <x:c r="AA642" s="142" t="n">
        <x:v>13224.008350902823</x:v>
      </x:c>
      <x:c r="AB642" s="142" t="n">
        <x:v>13522.065709923787</x:v>
      </x:c>
    </x:row>
    <x:row r="643">
      <x:c r="V643" s="141" t="n">
        <x:v>45933</x:v>
      </x:c>
      <x:c r="W643" s="142" t="n">
        <x:v>120529.35</x:v>
      </x:c>
      <x:c r="X643" s="142" t="n">
        <x:v>123894.99</x:v>
      </x:c>
      <x:c r="Y643" s="142" t="n">
        <x:v>119248.3</x:v>
      </x:c>
      <x:c r="Z643" s="142" t="n">
        <x:v>122232</x:v>
      </x:c>
      <x:c r="AA643" s="142" t="n">
        <x:v>13372.956007040671</x:v>
      </x:c>
      <x:c r="AB643" s="142" t="n">
        <x:v>13684.855593803873</x:v>
      </x:c>
    </x:row>
    <x:row r="644">
      <x:c r="V644" s="141" t="n">
        <x:v>45934</x:v>
      </x:c>
      <x:c r="W644" s="142" t="n">
        <x:v>122232.21</x:v>
      </x:c>
      <x:c r="X644" s="142" t="n">
        <x:v>122800</x:v>
      </x:c>
      <x:c r="Y644" s="142" t="n">
        <x:v>121510</x:v>
      </x:c>
      <x:c r="Z644" s="142" t="n">
        <x:v>122391</x:v>
      </x:c>
      <x:c r="AA644" s="142" t="n">
        <x:v>13386.865311551826</x:v>
      </x:c>
      <x:c r="AB644" s="142" t="n">
        <x:v>13700.057538734973</x:v>
      </x:c>
    </x:row>
    <x:row r="645">
      <x:c r="V645" s="141" t="n">
        <x:v>45935</x:v>
      </x:c>
      <x:c r="W645" s="142" t="n">
        <x:v>122390.99</x:v>
      </x:c>
      <x:c r="X645" s="142" t="n">
        <x:v>125708.42</x:v>
      </x:c>
      <x:c r="Y645" s="142" t="n">
        <x:v>122136</x:v>
      </x:c>
      <x:c r="Z645" s="142" t="n">
        <x:v>123482.31</x:v>
      </x:c>
      <x:c r="AA645" s="142" t="n">
        <x:v>13482.333004042823</x:v>
      </x:c>
      <x:c r="AB645" s="142" t="n">
        <x:v>13804.397378500737</x:v>
      </x:c>
    </x:row>
    <x:row r="646">
      <x:c r="V646" s="141" t="n">
        <x:v>45936</x:v>
      </x:c>
      <x:c r="W646" s="142" t="n">
        <x:v>123482.32</x:v>
      </x:c>
      <x:c r="X646" s="142" t="n">
        <x:v>126199.63</x:v>
      </x:c>
      <x:c r="Y646" s="142" t="n">
        <x:v>123084</x:v>
      </x:c>
      <x:c r="Z646" s="142" t="n">
        <x:v>124658.54</x:v>
      </x:c>
      <x:c r="AA646" s="142" t="n">
        <x:v>13585.229489861411</x:v>
      </x:c>
      <x:c r="AB646" s="142" t="n">
        <x:v>13916.856395395738</x:v>
      </x:c>
    </x:row>
    <x:row r="647">
      <x:c r="V647" s="141" t="n">
        <x:v>45937</x:v>
      </x:c>
      <x:c r="W647" s="142" t="n">
        <x:v>124658.54</x:v>
      </x:c>
      <x:c r="X647" s="142" t="n">
        <x:v>125126</x:v>
      </x:c>
      <x:c r="Y647" s="142" t="n">
        <x:v>120574.94</x:v>
      </x:c>
      <x:c r="Z647" s="142" t="n">
        <x:v>121332.95</x:v>
      </x:c>
      <x:c r="AA647" s="142" t="n">
        <x:v>13294.307200620835</x:v>
      </x:c>
      <x:c r="AB647" s="142" t="n">
        <x:v>13598.897678141588</x:v>
      </x:c>
    </x:row>
    <x:row r="648">
      <x:c r="V648" s="141" t="n">
        <x:v>45938</x:v>
      </x:c>
      <x:c r="W648" s="142" t="n">
        <x:v>121332.96</x:v>
      </x:c>
      <x:c r="X648" s="142" t="n">
        <x:v>124197.25</x:v>
      </x:c>
      <x:c r="Y648" s="142" t="n">
        <x:v>121066.14</x:v>
      </x:c>
      <x:c r="Z648" s="142" t="n">
        <x:v>123306</x:v>
      </x:c>
      <x:c r="AA648" s="142" t="n">
        <x:v>13466.909422417906</x:v>
      </x:c>
      <x:c r="AB648" s="142" t="n">
        <x:v>13787.540429376197</x:v>
      </x:c>
    </x:row>
    <x:row r="649">
      <x:c r="V649" s="141" t="n">
        <x:v>45939</x:v>
      </x:c>
      <x:c r="W649" s="142" t="n">
        <x:v>123306.01</x:v>
      </x:c>
      <x:c r="X649" s="142" t="n">
        <x:v>123762.94</x:v>
      </x:c>
      <x:c r="Y649" s="142" t="n">
        <x:v>119651.47</x:v>
      </x:c>
      <x:c r="Z649" s="142" t="n">
        <x:v>121662.4</x:v>
      </x:c>
      <x:c r="AA649" s="142" t="n">
        <x:v>13323.127454527754</x:v>
      </x:c>
      <x:c r="AB649" s="142" t="n">
        <x:v>13630.396299258255</x:v>
      </x:c>
    </x:row>
    <x:row r="650">
      <x:c r="V650" s="141" t="n">
        <x:v>45940</x:v>
      </x:c>
      <x:c r="W650" s="142" t="n">
        <x:v>121662.41</x:v>
      </x:c>
      <x:c r="X650" s="142" t="n">
        <x:v>122550</x:v>
      </x:c>
      <x:c r="Y650" s="142" t="n">
        <x:v>102000</x:v>
      </x:c>
      <x:c r="Z650" s="142" t="n">
        <x:v>112774.5</x:v>
      </x:c>
      <x:c r="AA650" s="142" t="n">
        <x:v>12545.614828334714</x:v>
      </x:c>
      <x:c r="AB650" s="142" t="n">
        <x:v>12780.626699553193</x:v>
      </x:c>
    </x:row>
    <x:row r="651">
      <x:c r="V651" s="141" t="n">
        <x:v>45941</x:v>
      </x:c>
      <x:c r="W651" s="142" t="n">
        <x:v>112774.49</x:v>
      </x:c>
      <x:c r="X651" s="142" t="n">
        <x:v>113322.39</x:v>
      </x:c>
      <x:c r="Y651" s="142" t="n">
        <x:v>109561.59</x:v>
      </x:c>
      <x:c r="Z651" s="142" t="n">
        <x:v>110644.4</x:v>
      </x:c>
      <x:c r="AA651" s="142" t="n">
        <x:v>12535.748452136317</x:v>
      </x:c>
      <x:c r="AB651" s="142" t="n">
        <x:v>12576.968442334753</x:v>
      </x:c>
    </x:row>
    <x:row r="652">
      <x:c r="V652" s="141" t="n">
        <x:v>45942</x:v>
      </x:c>
      <x:c r="W652" s="142" t="n">
        <x:v>110644.4</x:v>
      </x:c>
      <x:c r="X652" s="142" t="n">
        <x:v>115770</x:v>
      </x:c>
      <x:c r="Y652" s="142" t="n">
        <x:v>109565.06</x:v>
      </x:c>
      <x:c r="Z652" s="142" t="n">
        <x:v>114958.8</x:v>
      </x:c>
      <x:c r="AA652" s="142" t="n">
        <x:v>12535.748452136317</x:v>
      </x:c>
      <x:c r="AB652" s="142" t="n">
        <x:v>12989.467003408521</x:v>
      </x:c>
    </x:row>
    <x:row r="653">
      <x:c r="V653" s="141" t="n">
        <x:v>45943</x:v>
      </x:c>
      <x:c r="W653" s="142" t="n">
        <x:v>114958.81</x:v>
      </x:c>
      <x:c r="X653" s="142" t="n">
        <x:v>115963.81</x:v>
      </x:c>
      <x:c r="Y653" s="142" t="n">
        <x:v>113616.5</x:v>
      </x:c>
      <x:c r="Z653" s="142" t="n">
        <x:v>115166</x:v>
      </x:c>
      <x:c r="AA653" s="142" t="n">
        <x:v>12535.748452136317</x:v>
      </x:c>
      <x:c r="AB653" s="142" t="n">
        <x:v>13009.277336677222</x:v>
      </x:c>
    </x:row>
    <x:row r="654">
      <x:c r="V654" s="141" t="n">
        <x:v>45944</x:v>
      </x:c>
      <x:c r="W654" s="142" t="n">
        <x:v>115166</x:v>
      </x:c>
      <x:c r="X654" s="142" t="n">
        <x:v>115409.96</x:v>
      </x:c>
      <x:c r="Y654" s="142" t="n">
        <x:v>109866</x:v>
      </x:c>
      <x:c r="Z654" s="142" t="n">
        <x:v>113028.14</x:v>
      </x:c>
      <x:c r="AA654" s="142" t="n">
        <x:v>12535.748452136317</x:v>
      </x:c>
      <x:c r="AB654" s="142" t="n">
        <x:v>12804.877148058373</x:v>
      </x:c>
    </x:row>
    <x:row r="655">
      <x:c r="V655" s="141" t="n">
        <x:v>45945</x:v>
      </x:c>
      <x:c r="W655" s="142" t="n">
        <x:v>113028.13</x:v>
      </x:c>
      <x:c r="X655" s="142" t="n">
        <x:v>113612.35</x:v>
      </x:c>
      <x:c r="Y655" s="142" t="n">
        <x:v>110164</x:v>
      </x:c>
      <x:c r="Z655" s="142" t="n">
        <x:v>110763.28</x:v>
      </x:c>
      <x:c r="AA655" s="142" t="n">
        <x:v>12535.748452136317</x:v>
      </x:c>
      <x:c r="AB655" s="142" t="n">
        <x:v>12588.334525437955</x:v>
      </x:c>
    </x:row>
    <x:row r="656">
      <x:c r="V656" s="141" t="n">
        <x:v>45946</x:v>
      </x:c>
      <x:c r="W656" s="142" t="n">
        <x:v>110763.28</x:v>
      </x:c>
      <x:c r="X656" s="142" t="n">
        <x:v>111982.45</x:v>
      </x:c>
      <x:c r="Y656" s="142" t="n">
        <x:v>107427</x:v>
      </x:c>
      <x:c r="Z656" s="142" t="n">
        <x:v>108194.28</x:v>
      </x:c>
      <x:c r="AA656" s="142" t="n">
        <x:v>12535.748452136317</x:v>
      </x:c>
      <x:c r="AB656" s="142" t="n">
        <x:v>12342.713163626695</x:v>
      </x:c>
    </x:row>
    <x:row r="657">
      <x:c r="V657" s="141" t="n">
        <x:v>45947</x:v>
      </x:c>
      <x:c r="W657" s="142" t="n">
        <x:v>108194.27</x:v>
      </x:c>
      <x:c r="X657" s="142" t="n">
        <x:v>109240</x:v>
      </x:c>
      <x:c r="Y657" s="142" t="n">
        <x:v>103528.23</x:v>
      </x:c>
      <x:c r="Z657" s="142" t="n">
        <x:v>106431.68</x:v>
      </x:c>
      <x:c r="AA657" s="142" t="n">
        <x:v>12535.748452136317</x:v>
      </x:c>
      <x:c r="AB657" s="142" t="n">
        <x:v>12174.191477239567</x:v>
      </x:c>
    </x:row>
    <x:row r="658">
      <x:c r="V658" s="141" t="n">
        <x:v>45948</x:v>
      </x:c>
      <x:c r="W658" s="142" t="n">
        <x:v>106431.68</x:v>
      </x:c>
      <x:c r="X658" s="142" t="n">
        <x:v>107499</x:v>
      </x:c>
      <x:c r="Y658" s="142" t="n">
        <x:v>106322.2</x:v>
      </x:c>
      <x:c r="Z658" s="142" t="n">
        <x:v>107185.01</x:v>
      </x:c>
      <x:c r="AA658" s="142" t="n">
        <x:v>12535.748452136317</x:v>
      </x:c>
      <x:c r="AB658" s="142" t="n">
        <x:v>12246.21714500651</x:v>
      </x:c>
    </x:row>
    <x:row r="659">
      <x:c r="V659" s="141" t="n">
        <x:v>45949</x:v>
      </x:c>
      <x:c r="W659" s="142" t="n">
        <x:v>107185</x:v>
      </x:c>
      <x:c r="X659" s="142" t="n">
        <x:v>109450.07</x:v>
      </x:c>
      <x:c r="Y659" s="142" t="n">
        <x:v>106103.36</x:v>
      </x:c>
      <x:c r="Z659" s="142" t="n">
        <x:v>108642.78</x:v>
      </x:c>
      <x:c r="AA659" s="142" t="n">
        <x:v>12535.748452136317</x:v>
      </x:c>
      <x:c r="AB659" s="142" t="n">
        <x:v>12385.594121498376</x:v>
      </x:c>
    </x:row>
    <x:row r="660">
      <x:c r="V660" s="141" t="n">
        <x:v>45950</x:v>
      </x:c>
      <x:c r="W660" s="142" t="n">
        <x:v>108642.77</x:v>
      </x:c>
      <x:c r="X660" s="142" t="n">
        <x:v>111705.56</x:v>
      </x:c>
      <x:c r="Y660" s="142" t="n">
        <x:v>107402.52</x:v>
      </x:c>
      <x:c r="Z660" s="142" t="n">
        <x:v>110532.09</x:v>
      </x:c>
      <x:c r="AA660" s="142" t="n">
        <x:v>12535.748452136317</x:v>
      </x:c>
      <x:c r="AB660" s="142" t="n">
        <x:v>12566.230515069272</x:v>
      </x:c>
    </x:row>
    <x:row r="661">
      <x:c r="V661" s="141" t="n">
        <x:v>45951</x:v>
      </x:c>
      <x:c r="W661" s="142" t="n">
        <x:v>110532.09</x:v>
      </x:c>
      <x:c r="X661" s="142" t="n">
        <x:v>114000</x:v>
      </x:c>
      <x:c r="Y661" s="142" t="n">
        <x:v>107473.72</x:v>
      </x:c>
      <x:c r="Z661" s="142" t="n">
        <x:v>108297.67</x:v>
      </x:c>
      <x:c r="AA661" s="142" t="n">
        <x:v>12535.748452136317</x:v>
      </x:c>
      <x:c r="AB661" s="142" t="n">
        <x:v>12352.59825222057</x:v>
      </x:c>
    </x:row>
    <x:row r="662">
      <x:c r="V662" s="141" t="n">
        <x:v>45952</x:v>
      </x:c>
      <x:c r="W662" s="142" t="n">
        <x:v>108297.66</x:v>
      </x:c>
      <x:c r="X662" s="142" t="n">
        <x:v>109163.88</x:v>
      </x:c>
      <x:c r="Y662" s="142" t="n">
        <x:v>106666.69</x:v>
      </x:c>
      <x:c r="Z662" s="142" t="n">
        <x:v>107567.44</x:v>
      </x:c>
      <x:c r="AA662" s="142" t="n">
        <x:v>12535.748452136317</x:v>
      </x:c>
      <x:c r="AB662" s="142" t="n">
        <x:v>12282.78116890588</x:v>
      </x:c>
    </x:row>
    <x:row r="663">
      <x:c r="V663" s="141" t="n">
        <x:v>45953</x:v>
      </x:c>
      <x:c r="W663" s="142" t="n">
        <x:v>107567.45</x:v>
      </x:c>
      <x:c r="X663" s="142" t="n">
        <x:v>111293.61</x:v>
      </x:c>
      <x:c r="Y663" s="142" t="n">
        <x:v>107500</x:v>
      </x:c>
      <x:c r="Z663" s="142" t="n">
        <x:v>110078.18</x:v>
      </x:c>
      <x:c r="AA663" s="142" t="n">
        <x:v>12535.748452136317</x:v>
      </x:c>
      <x:c r="AB663" s="142" t="n">
        <x:v>12522.832308631067</x:v>
      </x:c>
    </x:row>
    <x:row r="664">
      <x:c r="V664" s="141" t="n">
        <x:v>45954</x:v>
      </x:c>
      <x:c r="W664" s="142" t="n">
        <x:v>110078.19</x:v>
      </x:c>
      <x:c r="X664" s="142" t="n">
        <x:v>112104.98</x:v>
      </x:c>
      <x:c r="Y664" s="142" t="n">
        <x:v>109700.01</x:v>
      </x:c>
      <x:c r="Z664" s="142" t="n">
        <x:v>111004.89</x:v>
      </x:c>
      <x:c r="AA664" s="142" t="n">
        <x:v>12535.748452136317</x:v>
      </x:c>
      <x:c r="AB664" s="142" t="n">
        <x:v>12611.434789053066</x:v>
      </x:c>
    </x:row>
    <x:row r="665">
      <x:c r="V665" s="141" t="n">
        <x:v>45955</x:v>
      </x:c>
      <x:c r="W665" s="142" t="n">
        <x:v>111004.9</x:v>
      </x:c>
      <x:c r="X665" s="142" t="n">
        <x:v>111943.19</x:v>
      </x:c>
      <x:c r="Y665" s="142" t="n">
        <x:v>110672.86</x:v>
      </x:c>
      <x:c r="Z665" s="142" t="n">
        <x:v>111646.27</x:v>
      </x:c>
      <x:c r="AA665" s="142" t="n">
        <x:v>12535.748452136317</x:v>
      </x:c>
      <x:c r="AB665" s="142" t="n">
        <x:v>12672.756949052486</x:v>
      </x:c>
    </x:row>
    <x:row r="666">
      <x:c r="V666" s="141" t="n">
        <x:v>45956</x:v>
      </x:c>
      <x:c r="W666" s="142" t="n">
        <x:v>111646.27</x:v>
      </x:c>
      <x:c r="X666" s="142" t="n">
        <x:v>115466.8</x:v>
      </x:c>
      <x:c r="Y666" s="142" t="n">
        <x:v>111260.45</x:v>
      </x:c>
      <x:c r="Z666" s="142" t="n">
        <x:v>114559.4</x:v>
      </x:c>
      <x:c r="AA666" s="142" t="n">
        <x:v>12535.748452136317</x:v>
      </x:c>
      <x:c r="AB666" s="142" t="n">
        <x:v>12951.280482619335</x:v>
      </x:c>
    </x:row>
    <x:row r="667">
      <x:c r="V667" s="141" t="n">
        <x:v>45957</x:v>
      </x:c>
      <x:c r="W667" s="142" t="n">
        <x:v>114559.41</x:v>
      </x:c>
      <x:c r="X667" s="142" t="n">
        <x:v>116400</x:v>
      </x:c>
      <x:c r="Y667" s="142" t="n">
        <x:v>113830.01</x:v>
      </x:c>
      <x:c r="Z667" s="142" t="n">
        <x:v>114107.65</x:v>
      </x:c>
      <x:c r="AA667" s="142" t="n">
        <x:v>12535.748452136317</x:v>
      </x:c>
      <x:c r="AB667" s="142" t="n">
        <x:v>12908.088793168872</x:v>
      </x:c>
    </x:row>
    <x:row r="668">
      <x:c r="V668" s="141" t="n">
        <x:v>45958</x:v>
      </x:c>
      <x:c r="W668" s="142" t="n">
        <x:v>114107.65</x:v>
      </x:c>
      <x:c r="X668" s="142" t="n">
        <x:v>116086</x:v>
      </x:c>
      <x:c r="Y668" s="142" t="n">
        <x:v>112211</x:v>
      </x:c>
      <x:c r="Z668" s="142" t="n">
        <x:v>112898.45</x:v>
      </x:c>
      <x:c r="AA668" s="142" t="n">
        <x:v>12535.748452136317</x:v>
      </x:c>
      <x:c r="AB668" s="142" t="n">
        <x:v>12792.47752391929</x:v>
      </x:c>
    </x:row>
    <x:row r="669">
      <x:c r="V669" s="141" t="n">
        <x:v>45959</x:v>
      </x:c>
      <x:c r="W669" s="142" t="n">
        <x:v>112898.44</x:v>
      </x:c>
      <x:c r="X669" s="142" t="n">
        <x:v>113643.73</x:v>
      </x:c>
      <x:c r="Y669" s="142" t="n">
        <x:v>109200</x:v>
      </x:c>
      <x:c r="Z669" s="142" t="n">
        <x:v>110021.29</x:v>
      </x:c>
      <x:c r="AA669" s="142" t="n">
        <x:v>12535.748452136317</x:v>
      </x:c>
      <x:c r="AB669" s="142" t="n">
        <x:v>12517.393071856663</x:v>
      </x:c>
    </x:row>
    <x:row r="670">
      <x:c r="V670" s="141" t="n">
        <x:v>45960</x:v>
      </x:c>
      <x:c r="W670" s="142" t="n">
        <x:v>110021.3</x:v>
      </x:c>
      <x:c r="X670" s="142" t="n">
        <x:v>111592</x:v>
      </x:c>
      <x:c r="Y670" s="142" t="n">
        <x:v>106304.34</x:v>
      </x:c>
      <x:c r="Z670" s="142" t="n">
        <x:v>108322.88</x:v>
      </x:c>
      <x:c r="AA670" s="142" t="n">
        <x:v>12535.748452136317</x:v>
      </x:c>
      <x:c r="AB670" s="142" t="n">
        <x:v>12355.00857317474</x:v>
      </x:c>
    </x:row>
    <x:row r="671">
      <x:c r="V671" s="141" t="n">
        <x:v>45961</x:v>
      </x:c>
      <x:c r="W671" s="142" t="n">
        <x:v>108322.87</x:v>
      </x:c>
      <x:c r="X671" s="142" t="n">
        <x:v>111190</x:v>
      </x:c>
      <x:c r="Y671" s="142" t="n">
        <x:v>108275.28</x:v>
      </x:c>
      <x:c r="Z671" s="142" t="n">
        <x:v>109608.01</x:v>
      </x:c>
      <x:c r="AA671" s="142" t="n">
        <x:v>12535.748452136317</x:v>
      </x:c>
      <x:c r="AB671" s="142" t="n">
        <x:v>12477.879488201796</x:v>
      </x:c>
    </x:row>
    <x:row r="672">
      <x:c r="V672" s="141" t="n">
        <x:v>45962</x:v>
      </x:c>
      <x:c r="W672" s="142" t="n">
        <x:v>109608.01</x:v>
      </x:c>
      <x:c r="X672" s="142" t="n">
        <x:v>110564.49</x:v>
      </x:c>
      <x:c r="Y672" s="142" t="n">
        <x:v>109394.81</x:v>
      </x:c>
      <x:c r="Z672" s="142" t="n">
        <x:v>110098.1</x:v>
      </x:c>
      <x:c r="AA672" s="142" t="n">
        <x:v>12535.748452136317</x:v>
      </x:c>
      <x:c r="AB672" s="142" t="n">
        <x:v>12524.7368541847</x:v>
      </x:c>
    </x:row>
    <x:row r="673">
      <x:c r="V673" s="141" t="n">
        <x:v>45963</x:v>
      </x:c>
      <x:c r="W673" s="142" t="n">
        <x:v>110098.1</x:v>
      </x:c>
      <x:c r="X673" s="142" t="n">
        <x:v>111250.01</x:v>
      </x:c>
      <x:c r="Y673" s="142" t="n">
        <x:v>109471.34</x:v>
      </x:c>
      <x:c r="Z673" s="142" t="n">
        <x:v>110540.68</x:v>
      </x:c>
      <x:c r="AA673" s="142" t="n">
        <x:v>12535.748452136317</x:v>
      </x:c>
      <x:c r="AB673" s="142" t="n">
        <x:v>12567.051802534417</x:v>
      </x:c>
    </x:row>
    <x:row r="674">
      <x:c r="V674" s="141" t="n">
        <x:v>45964</x:v>
      </x:c>
      <x:c r="W674" s="142" t="n">
        <x:v>110540.69</x:v>
      </x:c>
      <x:c r="X674" s="142" t="n">
        <x:v>110750</x:v>
      </x:c>
      <x:c r="Y674" s="142" t="n">
        <x:v>105306.56</x:v>
      </x:c>
      <x:c r="Z674" s="142" t="n">
        <x:v>106583.04</x:v>
      </x:c>
      <x:c r="AA674" s="142" t="n">
        <x:v>12535.748452136317</x:v>
      </x:c>
      <x:c r="AB674" s="142" t="n">
        <x:v>12188.66296393624</x:v>
      </x:c>
    </x:row>
    <x:row r="675">
      <x:c r="V675" s="141" t="n">
        <x:v>45965</x:v>
      </x:c>
      <x:c r="W675" s="142" t="n">
        <x:v>106583.05</x:v>
      </x:c>
      <x:c r="X675" s="142" t="n">
        <x:v>107299</x:v>
      </x:c>
      <x:c r="Y675" s="142" t="n">
        <x:v>98944.36</x:v>
      </x:c>
      <x:c r="Z675" s="142" t="n">
        <x:v>101497.22</x:v>
      </x:c>
      <x:c r="AA675" s="142" t="n">
        <x:v>12535.748452136317</x:v>
      </x:c>
      <x:c r="AB675" s="142" t="n">
        <x:v>11702.409155323181</x:v>
      </x:c>
    </x:row>
    <x:row r="676">
      <x:c r="V676" s="141" t="n">
        <x:v>45966</x:v>
      </x:c>
      <x:c r="W676" s="142" t="n">
        <x:v>101497.23</x:v>
      </x:c>
      <x:c r="X676" s="142" t="n">
        <x:v>104534.74</x:v>
      </x:c>
      <x:c r="Y676" s="142" t="n">
        <x:v>98966.8</x:v>
      </x:c>
      <x:c r="Z676" s="142" t="n">
        <x:v>103885.16</x:v>
      </x:c>
      <x:c r="AA676" s="142" t="n">
        <x:v>12535.748452136317</x:v>
      </x:c>
      <x:c r="AB676" s="142" t="n">
        <x:v>11692.70599002966</x:v>
      </x:c>
    </x:row>
    <x:row r="677">
      <x:c r="V677" s="141" t="n">
        <x:v>45967</x:v>
      </x:c>
      <x:c r="W677" s="142" t="n">
        <x:v>103885.16</x:v>
      </x:c>
      <x:c r="X677" s="142" t="n">
        <x:v>104200</x:v>
      </x:c>
      <x:c r="Y677" s="142" t="n">
        <x:v>100300.95</x:v>
      </x:c>
      <x:c r="Z677" s="142" t="n">
        <x:v>101346.04</x:v>
      </x:c>
      <x:c r="AA677" s="142" t="n">
        <x:v>12535.748452136317</x:v>
      </x:c>
      <x:c r="AB677" s="142" t="n">
        <x:v>11692.70599002966</x:v>
      </x:c>
    </x:row>
    <x:row r="678">
      <x:c r="V678" s="141" t="n">
        <x:v>45968</x:v>
      </x:c>
      <x:c r="W678" s="142" t="n">
        <x:v>101346.04</x:v>
      </x:c>
      <x:c r="X678" s="142" t="n">
        <x:v>104096.36</x:v>
      </x:c>
      <x:c r="Y678" s="142" t="n">
        <x:v>99260.86</x:v>
      </x:c>
      <x:c r="Z678" s="142" t="n">
        <x:v>103339.08</x:v>
      </x:c>
      <x:c r="AA678" s="142" t="n">
        <x:v>12535.748452136317</x:v>
      </x:c>
      <x:c r="AB678" s="142" t="n">
        <x:v>11692.70599002966</x:v>
      </x:c>
    </x:row>
    <x:row r="679">
      <x:c r="V679" s="141" t="n">
        <x:v>45969</x:v>
      </x:c>
      <x:c r="W679" s="142" t="n">
        <x:v>103339.09</x:v>
      </x:c>
      <x:c r="X679" s="142" t="n">
        <x:v>103406.22</x:v>
      </x:c>
      <x:c r="Y679" s="142" t="n">
        <x:v>101454</x:v>
      </x:c>
      <x:c r="Z679" s="142" t="n">
        <x:v>102312.94</x:v>
      </x:c>
      <x:c r="AA679" s="142" t="n">
        <x:v>12535.748452136317</x:v>
      </x:c>
      <x:c r="AB679" s="142" t="n">
        <x:v>11692.70599002966</x:v>
      </x:c>
    </x:row>
    <x:row r="680">
      <x:c r="V680" s="141" t="n">
        <x:v>45970</x:v>
      </x:c>
      <x:c r="W680" s="142" t="n">
        <x:v>102312.95</x:v>
      </x:c>
      <x:c r="X680" s="142" t="n">
        <x:v>105495.62</x:v>
      </x:c>
      <x:c r="Y680" s="142" t="n">
        <x:v>101400</x:v>
      </x:c>
      <x:c r="Z680" s="142" t="n">
        <x:v>104722.96</x:v>
      </x:c>
      <x:c r="AA680" s="142" t="n">
        <x:v>12535.748452136317</x:v>
      </x:c>
      <x:c r="AB680" s="142" t="n">
        <x:v>11692.70599002966</x:v>
      </x:c>
    </x:row>
    <x:row r="681">
      <x:c r="V681" s="141" t="n">
        <x:v>45971</x:v>
      </x:c>
      <x:c r="W681" s="142" t="n">
        <x:v>104722.95</x:v>
      </x:c>
      <x:c r="X681" s="142" t="n">
        <x:v>106670.11</x:v>
      </x:c>
      <x:c r="Y681" s="142" t="n">
        <x:v>104265.02</x:v>
      </x:c>
      <x:c r="Z681" s="142" t="n">
        <x:v>106011.13</x:v>
      </x:c>
      <x:c r="AA681" s="142" t="n">
        <x:v>12535.748452136317</x:v>
      </x:c>
      <x:c r="AB681" s="142" t="n">
        <x:v>11692.70599002966</x:v>
      </x:c>
    </x:row>
    <x:row r="682">
      <x:c r="V682" s="141" t="n">
        <x:v>45972</x:v>
      </x:c>
      <x:c r="W682" s="142" t="n">
        <x:v>106011.13</x:v>
      </x:c>
      <x:c r="X682" s="142" t="n">
        <x:v>107500</x:v>
      </x:c>
      <x:c r="Y682" s="142" t="n">
        <x:v>102476.09</x:v>
      </x:c>
      <x:c r="Z682" s="142" t="n">
        <x:v>103058.99</x:v>
      </x:c>
      <x:c r="AA682" s="142" t="n">
        <x:v>12535.748452136317</x:v>
      </x:c>
      <x:c r="AB682" s="142" t="n">
        <x:v>11692.70599002966</x:v>
      </x:c>
    </x:row>
    <x:row r="683">
      <x:c r="V683" s="141" t="n">
        <x:v>45973</x:v>
      </x:c>
      <x:c r="W683" s="142" t="n">
        <x:v>103059</x:v>
      </x:c>
      <x:c r="X683" s="142" t="n">
        <x:v>105333.33</x:v>
      </x:c>
      <x:c r="Y683" s="142" t="n">
        <x:v>100813.59</x:v>
      </x:c>
      <x:c r="Z683" s="142" t="n">
        <x:v>101654.37</x:v>
      </x:c>
      <x:c r="AA683" s="142" t="n">
        <x:v>12535.748452136317</x:v>
      </x:c>
      <x:c r="AB683" s="142" t="n">
        <x:v>11692.70599002966</x:v>
      </x:c>
    </x:row>
    <x:row r="684">
      <x:c r="V684" s="141" t="n">
        <x:v>45974</x:v>
      </x:c>
      <x:c r="W684" s="142" t="n">
        <x:v>101654.37</x:v>
      </x:c>
      <x:c r="X684" s="142" t="n">
        <x:v>104085.01</x:v>
      </x:c>
      <x:c r="Y684" s="142" t="n">
        <x:v>98000.4</x:v>
      </x:c>
      <x:c r="Z684" s="142" t="n">
        <x:v>99692.02</x:v>
      </x:c>
      <x:c r="AA684" s="142" t="n">
        <x:v>12535.748452136317</x:v>
      </x:c>
      <x:c r="AB684" s="142" t="n">
        <x:v>11692.70599002966</x:v>
      </x:c>
    </x:row>
    <x:row r="685">
      <x:c r="V685" s="141" t="n">
        <x:v>45975</x:v>
      </x:c>
      <x:c r="W685" s="142" t="n">
        <x:v>99692.03</x:v>
      </x:c>
      <x:c r="X685" s="142" t="n">
        <x:v>99866.02</x:v>
      </x:c>
      <x:c r="Y685" s="142" t="n">
        <x:v>94012.45</x:v>
      </x:c>
      <x:c r="Z685" s="142" t="n">
        <x:v>94594</x:v>
      </x:c>
      <x:c r="AA685" s="142" t="n">
        <x:v>12535.748452136317</x:v>
      </x:c>
      <x:c r="AB685" s="142" t="n">
        <x:v>11692.70599002966</x:v>
      </x:c>
    </x:row>
    <x:row r="686">
      <x:c r="V686" s="141" t="n">
        <x:v>45976</x:v>
      </x:c>
      <x:c r="W686" s="142" t="n">
        <x:v>94594</x:v>
      </x:c>
      <x:c r="X686" s="142" t="n">
        <x:v>96846.68</x:v>
      </x:c>
      <x:c r="Y686" s="142" t="n">
        <x:v>94558.49</x:v>
      </x:c>
      <x:c r="Z686" s="142" t="n">
        <x:v>95596.24</x:v>
      </x:c>
      <x:c r="AA686" s="142" t="n">
        <x:v>12535.748452136317</x:v>
      </x:c>
      <x:c r="AB686" s="142" t="n">
        <x:v>11692.70599002966</x:v>
      </x:c>
    </x:row>
    <x:row r="687">
      <x:c r="V687" s="141" t="n">
        <x:v>45977</x:v>
      </x:c>
      <x:c r="W687" s="142" t="n">
        <x:v>95596.23</x:v>
      </x:c>
      <x:c r="X687" s="142" t="n">
        <x:v>96635.11</x:v>
      </x:c>
      <x:c r="Y687" s="142" t="n">
        <x:v>93005.55</x:v>
      </x:c>
      <x:c r="Z687" s="142" t="n">
        <x:v>94261.44</x:v>
      </x:c>
      <x:c r="AA687" s="142" t="n">
        <x:v>12535.748452136317</x:v>
      </x:c>
      <x:c r="AB687" s="142" t="n">
        <x:v>11692.70599002966</x:v>
      </x:c>
    </x:row>
    <x:row r="688">
      <x:c r="V688" s="141" t="n">
        <x:v>45978</x:v>
      </x:c>
      <x:c r="W688" s="142" t="n">
        <x:v>94261.45</x:v>
      </x:c>
      <x:c r="X688" s="142" t="n">
        <x:v>96043</x:v>
      </x:c>
      <x:c r="Y688" s="142" t="n">
        <x:v>91220</x:v>
      </x:c>
      <x:c r="Z688" s="142" t="n">
        <x:v>92215.14</x:v>
      </x:c>
      <x:c r="AA688" s="142" t="n">
        <x:v>12535.748452136317</x:v>
      </x:c>
      <x:c r="AB688" s="142" t="n">
        <x:v>11692.70599002966</x:v>
      </x:c>
    </x:row>
    <x:row r="689">
      <x:c r="V689" s="141" t="n">
        <x:v>45979</x:v>
      </x:c>
      <x:c r="W689" s="142" t="n">
        <x:v>92215.14</x:v>
      </x:c>
      <x:c r="X689" s="142" t="n">
        <x:v>93836.01</x:v>
      </x:c>
      <x:c r="Y689" s="142" t="n">
        <x:v>89253.78</x:v>
      </x:c>
      <x:c r="Z689" s="142" t="n">
        <x:v>92960.83</x:v>
      </x:c>
      <x:c r="AA689" s="142" t="n">
        <x:v>12535.748452136317</x:v>
      </x:c>
      <x:c r="AB689" s="142" t="n">
        <x:v>11692.70599002966</x:v>
      </x:c>
    </x:row>
    <x:row r="690">
      <x:c r="V690" s="141" t="n">
        <x:v>45980</x:v>
      </x:c>
      <x:c r="W690" s="142" t="n">
        <x:v>92960.83</x:v>
      </x:c>
      <x:c r="X690" s="142" t="n">
        <x:v>92980.22</x:v>
      </x:c>
      <x:c r="Y690" s="142" t="n">
        <x:v>88608</x:v>
      </x:c>
      <x:c r="Z690" s="142" t="n">
        <x:v>91554.96</x:v>
      </x:c>
      <x:c r="AA690" s="142" t="n">
        <x:v>12535.748452136317</x:v>
      </x:c>
      <x:c r="AB690" s="142" t="n">
        <x:v>11692.70599002966</x:v>
      </x:c>
    </x:row>
    <x:row r="691">
      <x:c r="V691" s="141" t="n">
        <x:v>45981</x:v>
      </x:c>
      <x:c r="W691" s="142" t="n">
        <x:v>91554.96</x:v>
      </x:c>
      <x:c r="X691" s="142" t="n">
        <x:v>93160</x:v>
      </x:c>
      <x:c r="Y691" s="142" t="n">
        <x:v>86100</x:v>
      </x:c>
      <x:c r="Z691" s="142" t="n">
        <x:v>86637.23</x:v>
      </x:c>
      <x:c r="AA691" s="142" t="n">
        <x:v>12535.748452136317</x:v>
      </x:c>
      <x:c r="AB691" s="142" t="n">
        <x:v>11692.70599002966</x:v>
      </x:c>
    </x:row>
    <x:row r="692">
      <x:c r="V692" s="141" t="n">
        <x:v>45982</x:v>
      </x:c>
      <x:c r="W692" s="142" t="n">
        <x:v>86637.22</x:v>
      </x:c>
      <x:c r="X692" s="142" t="n">
        <x:v>87498.94</x:v>
      </x:c>
      <x:c r="Y692" s="142" t="n">
        <x:v>80600</x:v>
      </x:c>
      <x:c r="Z692" s="142" t="n">
        <x:v>85129.43</x:v>
      </x:c>
      <x:c r="AA692" s="142" t="n">
        <x:v>12535.748452136317</x:v>
      </x:c>
      <x:c r="AB692" s="142" t="n">
        <x:v>11692.70599002966</x:v>
      </x:c>
    </x:row>
    <x:row r="693">
      <x:c r="V693" s="141" t="n">
        <x:v>45983</x:v>
      </x:c>
      <x:c r="W693" s="142" t="n">
        <x:v>85129.42</x:v>
      </x:c>
      <x:c r="X693" s="142" t="n">
        <x:v>85620</x:v>
      </x:c>
      <x:c r="Y693" s="142" t="n">
        <x:v>83500</x:v>
      </x:c>
      <x:c r="Z693" s="142" t="n">
        <x:v>84739.74</x:v>
      </x:c>
      <x:c r="AA693" s="142" t="n">
        <x:v>12535.748452136317</x:v>
      </x:c>
      <x:c r="AB693" s="142" t="n">
        <x:v>11692.70599002966</x:v>
      </x:c>
    </x:row>
    <x:row r="694">
      <x:c r="V694" s="141" t="n">
        <x:v>45984</x:v>
      </x:c>
      <x:c r="W694" s="142" t="n">
        <x:v>84739.75</x:v>
      </x:c>
      <x:c r="X694" s="142" t="n">
        <x:v>88127.64</x:v>
      </x:c>
      <x:c r="Y694" s="142" t="n">
        <x:v>84667.57</x:v>
      </x:c>
      <x:c r="Z694" s="142" t="n">
        <x:v>86830</x:v>
      </x:c>
      <x:c r="AA694" s="142" t="n">
        <x:v>12535.748452136317</x:v>
      </x:c>
      <x:c r="AB694" s="142" t="n">
        <x:v>11692.70599002966</x:v>
      </x:c>
    </x:row>
    <x:row r="695">
      <x:c r="V695" s="141" t="n">
        <x:v>45985</x:v>
      </x:c>
      <x:c r="W695" s="142" t="n">
        <x:v>86830</x:v>
      </x:c>
      <x:c r="X695" s="142" t="n">
        <x:v>89228</x:v>
      </x:c>
      <x:c r="Y695" s="142" t="n">
        <x:v>85272</x:v>
      </x:c>
      <x:c r="Z695" s="142" t="n">
        <x:v>88300.01</x:v>
      </x:c>
      <x:c r="AA695" s="142" t="n">
        <x:v>12535.748452136317</x:v>
      </x:c>
      <x:c r="AB695" s="142" t="n">
        <x:v>11692.70599002966</x:v>
      </x:c>
    </x:row>
    <x:row r="696">
      <x:c r="V696" s="141" t="n">
        <x:v>45986</x:v>
      </x:c>
      <x:c r="W696" s="142" t="n">
        <x:v>88300.01</x:v>
      </x:c>
      <x:c r="X696" s="142" t="n">
        <x:v>88519.99</x:v>
      </x:c>
      <x:c r="Y696" s="142" t="n">
        <x:v>86116</x:v>
      </x:c>
      <x:c r="Z696" s="142" t="n">
        <x:v>87369.96</x:v>
      </x:c>
      <x:c r="AA696" s="142" t="n">
        <x:v>12535.748452136317</x:v>
      </x:c>
      <x:c r="AB696" s="142" t="n">
        <x:v>11692.70599002966</x:v>
      </x:c>
    </x:row>
    <x:row r="697">
      <x:c r="V697" s="141" t="n">
        <x:v>45987</x:v>
      </x:c>
      <x:c r="W697" s="142" t="n">
        <x:v>87369.97</x:v>
      </x:c>
      <x:c r="X697" s="142" t="n">
        <x:v>90656.08</x:v>
      </x:c>
      <x:c r="Y697" s="142" t="n">
        <x:v>86306.77</x:v>
      </x:c>
      <x:c r="Z697" s="142" t="n">
        <x:v>90484.02</x:v>
      </x:c>
      <x:c r="AA697" s="142" t="n">
        <x:v>12535.748452136317</x:v>
      </x:c>
      <x:c r="AB697" s="142" t="n">
        <x:v>11692.70599002966</x:v>
      </x:c>
    </x:row>
    <x:row r="698">
      <x:c r="V698" s="141" t="n">
        <x:v>45988</x:v>
      </x:c>
      <x:c r="W698" s="142" t="n">
        <x:v>90484.01</x:v>
      </x:c>
      <x:c r="X698" s="142" t="n">
        <x:v>91950</x:v>
      </x:c>
      <x:c r="Y698" s="142" t="n">
        <x:v>90089.91</x:v>
      </x:c>
      <x:c r="Z698" s="142" t="n">
        <x:v>91333.95</x:v>
      </x:c>
      <x:c r="AA698" s="142" t="n">
        <x:v>12535.748452136317</x:v>
      </x:c>
      <x:c r="AB698" s="142" t="n">
        <x:v>11692.70599002966</x:v>
      </x:c>
    </x:row>
    <x:row r="699">
      <x:c r="V699" s="141" t="n">
        <x:v>45989</x:v>
      </x:c>
      <x:c r="W699" s="142" t="n">
        <x:v>91333.94</x:v>
      </x:c>
      <x:c r="X699" s="142" t="n">
        <x:v>93092</x:v>
      </x:c>
      <x:c r="Y699" s="142" t="n">
        <x:v>90180.63</x:v>
      </x:c>
      <x:c r="Z699" s="142" t="n">
        <x:v>90890.7</x:v>
      </x:c>
      <x:c r="AA699" s="142" t="n">
        <x:v>12535.748452136317</x:v>
      </x:c>
      <x:c r="AB699" s="142" t="n">
        <x:v>11692.70599002966</x:v>
      </x:c>
    </x:row>
    <x:row r="700">
      <x:c r="V700" s="141" t="n">
        <x:v>45990</x:v>
      </x:c>
      <x:c r="W700" s="142" t="n">
        <x:v>90890.71</x:v>
      </x:c>
      <x:c r="X700" s="142" t="n">
        <x:v>91165.65</x:v>
      </x:c>
      <x:c r="Y700" s="142" t="n">
        <x:v>90155.47</x:v>
      </x:c>
      <x:c r="Z700" s="142" t="n">
        <x:v>90802.44</x:v>
      </x:c>
      <x:c r="AA700" s="142" t="n">
        <x:v>12535.748452136317</x:v>
      </x:c>
      <x:c r="AB700" s="142" t="n">
        <x:v>11692.70599002966</x:v>
      </x:c>
    </x:row>
    <x:row r="701">
      <x:c r="V701" s="141" t="n">
        <x:v>45991</x:v>
      </x:c>
      <x:c r="W701" s="142" t="n">
        <x:v>90802.44</x:v>
      </x:c>
      <x:c r="X701" s="142" t="n">
        <x:v>92000.01</x:v>
      </x:c>
      <x:c r="Y701" s="142" t="n">
        <x:v>90336.9</x:v>
      </x:c>
      <x:c r="Z701" s="142" t="n">
        <x:v>90360</x:v>
      </x:c>
      <x:c r="AA701" s="142" t="n">
        <x:v>12535.748452136317</x:v>
      </x:c>
      <x:c r="AB701" s="142" t="n">
        <x:v>11692.70599002966</x:v>
      </x:c>
    </x:row>
    <x:row r="702">
      <x:c r="V702" s="141" t="n">
        <x:v>45992</x:v>
      </x:c>
      <x:c r="W702" s="142" t="n">
        <x:v>90360.01</x:v>
      </x:c>
      <x:c r="X702" s="142" t="n">
        <x:v>90417</x:v>
      </x:c>
      <x:c r="Y702" s="142" t="n">
        <x:v>83822.76</x:v>
      </x:c>
      <x:c r="Z702" s="142" t="n">
        <x:v>86286.01</x:v>
      </x:c>
      <x:c r="AA702" s="142" t="n">
        <x:v>12535.748452136317</x:v>
      </x:c>
      <x:c r="AB702" s="142" t="n">
        <x:v>11692.70599002966</x:v>
      </x:c>
    </x:row>
    <x:row r="703">
      <x:c r="V703" s="141" t="n">
        <x:v>45993</x:v>
      </x:c>
      <x:c r="W703" s="142" t="n">
        <x:v>86286.01</x:v>
      </x:c>
      <x:c r="X703" s="142" t="n">
        <x:v>92307.65</x:v>
      </x:c>
      <x:c r="Y703" s="142" t="n">
        <x:v>86184.39</x:v>
      </x:c>
      <x:c r="Z703" s="142" t="n">
        <x:v>91277.88</x:v>
      </x:c>
      <x:c r="AA703" s="142" t="n">
        <x:v>12535.748452136317</x:v>
      </x:c>
      <x:c r="AB703" s="142" t="n">
        <x:v>11692.70599002966</x:v>
      </x:c>
    </x:row>
    <x:row r="704">
      <x:c r="V704" s="141" t="n">
        <x:v>45994</x:v>
      </x:c>
      <x:c r="W704" s="142" t="n">
        <x:v>91277.88</x:v>
      </x:c>
      <x:c r="X704" s="142" t="n">
        <x:v>94150</x:v>
      </x:c>
      <x:c r="Y704" s="142" t="n">
        <x:v>90990.23</x:v>
      </x:c>
      <x:c r="Z704" s="142" t="n">
        <x:v>93429.95</x:v>
      </x:c>
      <x:c r="AA704" s="142" t="n">
        <x:v>12535.748452136317</x:v>
      </x:c>
      <x:c r="AB704" s="142" t="n">
        <x:v>11692.70599002966</x:v>
      </x:c>
    </x:row>
    <x:row r="705">
      <x:c r="V705" s="141" t="n">
        <x:v>45995</x:v>
      </x:c>
      <x:c r="W705" s="142" t="n">
        <x:v>93429.95</x:v>
      </x:c>
      <x:c r="X705" s="142" t="n">
        <x:v>94080</x:v>
      </x:c>
      <x:c r="Y705" s="142" t="n">
        <x:v>90889</x:v>
      </x:c>
      <x:c r="Z705" s="142" t="n">
        <x:v>92078.06</x:v>
      </x:c>
      <x:c r="AA705" s="142" t="n">
        <x:v>12535.748452136317</x:v>
      </x:c>
      <x:c r="AB705" s="142" t="n">
        <x:v>11692.70599002966</x:v>
      </x:c>
    </x:row>
    <x:row r="706">
      <x:c r="V706" s="141" t="n">
        <x:v>45996</x:v>
      </x:c>
      <x:c r="W706" s="142" t="n">
        <x:v>92078.06</x:v>
      </x:c>
      <x:c r="X706" s="142" t="n">
        <x:v>92692.36</x:v>
      </x:c>
      <x:c r="Y706" s="142" t="n">
        <x:v>88056</x:v>
      </x:c>
      <x:c r="Z706" s="142" t="n">
        <x:v>89330.04</x:v>
      </x:c>
      <x:c r="AA706" s="142" t="n">
        <x:v>12535.748452136317</x:v>
      </x:c>
      <x:c r="AB706" s="142" t="n">
        <x:v>11692.70599002966</x:v>
      </x:c>
    </x:row>
    <x:row r="707">
      <x:c r="V707" s="141" t="n">
        <x:v>45997</x:v>
      </x:c>
      <x:c r="W707" s="142" t="n">
        <x:v>89330.04</x:v>
      </x:c>
      <x:c r="X707" s="142" t="n">
        <x:v>90289.97</x:v>
      </x:c>
      <x:c r="Y707" s="142" t="n">
        <x:v>88908.01</x:v>
      </x:c>
      <x:c r="Z707" s="142" t="n">
        <x:v>89236.79</x:v>
      </x:c>
      <x:c r="AA707" s="142" t="n">
        <x:v>12535.748452136317</x:v>
      </x:c>
      <x:c r="AB707" s="142" t="n">
        <x:v>11692.70599002966</x:v>
      </x:c>
    </x:row>
    <x:row r="708">
      <x:c r="V708" s="141" t="n">
        <x:v>45998</x:v>
      </x:c>
      <x:c r="W708" s="142" t="n">
        <x:v>89236.8</x:v>
      </x:c>
      <x:c r="X708" s="142" t="n">
        <x:v>91760</x:v>
      </x:c>
      <x:c r="Y708" s="142" t="n">
        <x:v>87719.28</x:v>
      </x:c>
      <x:c r="Z708" s="142" t="n">
        <x:v>90395.31</x:v>
      </x:c>
      <x:c r="AA708" s="142" t="n">
        <x:v>12535.748452136317</x:v>
      </x:c>
      <x:c r="AB708" s="142" t="n">
        <x:v>11692.70599002966</x:v>
      </x:c>
    </x:row>
    <x:row r="709">
      <x:c r="V709" s="141" t="n">
        <x:v>45999</x:v>
      </x:c>
      <x:c r="W709" s="142" t="n">
        <x:v>90395.32</x:v>
      </x:c>
      <x:c r="X709" s="142" t="n">
        <x:v>92287.15</x:v>
      </x:c>
      <x:c r="Y709" s="142" t="n">
        <x:v>89612</x:v>
      </x:c>
      <x:c r="Z709" s="142" t="n">
        <x:v>90634.34</x:v>
      </x:c>
      <x:c r="AA709" s="142" t="n">
        <x:v>12535.748452136317</x:v>
      </x:c>
      <x:c r="AB709" s="142" t="n">
        <x:v>11692.70599002966</x:v>
      </x:c>
    </x:row>
    <x:row r="710">
      <x:c r="V710" s="141" t="n">
        <x:v>46000</x:v>
      </x:c>
      <x:c r="W710" s="142" t="n">
        <x:v>90634.35</x:v>
      </x:c>
      <x:c r="X710" s="142" t="n">
        <x:v>94588.99</x:v>
      </x:c>
      <x:c r="Y710" s="142" t="n">
        <x:v>89500</x:v>
      </x:c>
      <x:c r="Z710" s="142" t="n">
        <x:v>92678.8</x:v>
      </x:c>
      <x:c r="AA710" s="142" t="n">
        <x:v>12535.748452136317</x:v>
      </x:c>
      <x:c r="AB710" s="142" t="n">
        <x:v>11692.70599002966</x:v>
      </x:c>
    </x:row>
    <x:row r="711">
      <x:c r="V711" s="141" t="n">
        <x:v>46001</x:v>
      </x:c>
      <x:c r="W711" s="142" t="n">
        <x:v>92678.81</x:v>
      </x:c>
      <x:c r="X711" s="142" t="n">
        <x:v>94476</x:v>
      </x:c>
      <x:c r="Y711" s="142" t="n">
        <x:v>91563.15</x:v>
      </x:c>
      <x:c r="Z711" s="142" t="n">
        <x:v>92015.37</x:v>
      </x:c>
      <x:c r="AA711" s="142" t="n">
        <x:v>12535.748452136317</x:v>
      </x:c>
      <x:c r="AB711" s="142" t="n">
        <x:v>11692.70599002966</x:v>
      </x:c>
    </x:row>
    <x:row r="712">
      <x:c r="V712" s="141" t="n">
        <x:v>46002</x:v>
      </x:c>
      <x:c r="W712" s="142" t="n">
        <x:v>92015.38</x:v>
      </x:c>
      <x:c r="X712" s="142" t="n">
        <x:v>93555</x:v>
      </x:c>
      <x:c r="Y712" s="142" t="n">
        <x:v>89260.63</x:v>
      </x:c>
      <x:c r="Z712" s="142" t="n">
        <x:v>92513.38</x:v>
      </x:c>
      <x:c r="AA712" s="142" t="n">
        <x:v>12535.748452136317</x:v>
      </x:c>
      <x:c r="AB712" s="142" t="n">
        <x:v>11692.70599002966</x:v>
      </x:c>
    </x:row>
    <x:row r="713">
      <x:c r="V713" s="141" t="n">
        <x:v>46003</x:v>
      </x:c>
      <x:c r="W713" s="142" t="n">
        <x:v>92513.38</x:v>
      </x:c>
      <x:c r="X713" s="142" t="n">
        <x:v>92754</x:v>
      </x:c>
      <x:c r="Y713" s="142" t="n">
        <x:v>89480</x:v>
      </x:c>
      <x:c r="Z713" s="142" t="n">
        <x:v>90268.42</x:v>
      </x:c>
      <x:c r="AA713" s="142" t="n">
        <x:v>12535.748452136317</x:v>
      </x:c>
      <x:c r="AB713" s="142" t="n">
        <x:v>11692.70599002966</x:v>
      </x:c>
    </x:row>
    <x:row r="714">
      <x:c r="V714" s="141" t="n">
        <x:v>46004</x:v>
      </x:c>
      <x:c r="W714" s="142" t="n">
        <x:v>90268.43</x:v>
      </x:c>
      <x:c r="X714" s="142" t="n">
        <x:v>90634.55</x:v>
      </x:c>
      <x:c r="Y714" s="142" t="n">
        <x:v>89766.39</x:v>
      </x:c>
      <x:c r="Z714" s="142" t="n">
        <x:v>90240.01</x:v>
      </x:c>
      <x:c r="AA714" s="142" t="n">
        <x:v>12535.748452136317</x:v>
      </x:c>
      <x:c r="AB714" s="142" t="n">
        <x:v>11692.70599002966</x:v>
      </x:c>
    </x:row>
    <x:row r="715">
      <x:c r="V715" s="141" t="n">
        <x:v>46005</x:v>
      </x:c>
      <x:c r="W715" s="142" t="n">
        <x:v>90240</x:v>
      </x:c>
      <x:c r="X715" s="142" t="n">
        <x:v>90472.4</x:v>
      </x:c>
      <x:c r="Y715" s="142" t="n">
        <x:v>87577.36</x:v>
      </x:c>
      <x:c r="Z715" s="142" t="n">
        <x:v>88172.17</x:v>
      </x:c>
      <x:c r="AA715" s="142" t="n">
        <x:v>12535.748452136317</x:v>
      </x:c>
      <x:c r="AB715" s="142" t="n">
        <x:v>11692.70599002966</x:v>
      </x:c>
    </x:row>
    <x:row r="716">
      <x:c r="V716" s="141" t="n">
        <x:v>46006</x:v>
      </x:c>
      <x:c r="W716" s="142" t="n">
        <x:v>88172.16</x:v>
      </x:c>
      <x:c r="X716" s="142" t="n">
        <x:v>90052.64</x:v>
      </x:c>
      <x:c r="Y716" s="142" t="n">
        <x:v>85146.64</x:v>
      </x:c>
      <x:c r="Z716" s="142" t="n">
        <x:v>86432.08</x:v>
      </x:c>
      <x:c r="AA716" s="142" t="n">
        <x:v>12535.748452136317</x:v>
      </x:c>
      <x:c r="AB716" s="142" t="n">
        <x:v>11692.70599002966</x:v>
      </x:c>
    </x:row>
    <x:row r="717">
      <x:c r="V717" s="141" t="n">
        <x:v>46007</x:v>
      </x:c>
      <x:c r="W717" s="142" t="n">
        <x:v>86432.08</x:v>
      </x:c>
      <x:c r="X717" s="142" t="n">
        <x:v>88175.98</x:v>
      </x:c>
      <x:c r="Y717" s="142" t="n">
        <x:v>85266</x:v>
      </x:c>
      <x:c r="Z717" s="142" t="n">
        <x:v>87863.42</x:v>
      </x:c>
      <x:c r="AA717" s="142" t="n">
        <x:v>12535.748452136317</x:v>
      </x:c>
      <x:c r="AB717" s="142" t="n">
        <x:v>11692.70599002966</x:v>
      </x:c>
    </x:row>
    <x:row r="718">
      <x:c r="V718" s="141" t="n">
        <x:v>46008</x:v>
      </x:c>
      <x:c r="W718" s="142" t="n">
        <x:v>87863.43</x:v>
      </x:c>
      <x:c r="X718" s="142" t="n">
        <x:v>90365.85</x:v>
      </x:c>
      <x:c r="Y718" s="142" t="n">
        <x:v>85314</x:v>
      </x:c>
      <x:c r="Z718" s="142" t="n">
        <x:v>86243.22</x:v>
      </x:c>
      <x:c r="AA718" s="142" t="n">
        <x:v>12535.748452136317</x:v>
      </x:c>
      <x:c r="AB718" s="142" t="n">
        <x:v>11692.70599002966</x:v>
      </x:c>
    </x:row>
    <x:row r="719">
      <x:c r="V719" s="141" t="n">
        <x:v>46009</x:v>
      </x:c>
      <x:c r="W719" s="142" t="n">
        <x:v>86243.23</x:v>
      </x:c>
      <x:c r="X719" s="142" t="n">
        <x:v>89477.61</x:v>
      </x:c>
      <x:c r="Y719" s="142" t="n">
        <x:v>84450.01</x:v>
      </x:c>
      <x:c r="Z719" s="142" t="n">
        <x:v>85516.41</x:v>
      </x:c>
      <x:c r="AA719" s="142" t="n">
        <x:v>12535.748452136317</x:v>
      </x:c>
      <x:c r="AB719" s="142" t="n">
        <x:v>11692.70599002966</x:v>
      </x:c>
    </x:row>
    <x:row r="720">
      <x:c r="V720" s="141" t="n">
        <x:v>46010</x:v>
      </x:c>
      <x:c r="W720" s="142" t="n">
        <x:v>85516.41</x:v>
      </x:c>
      <x:c r="X720" s="142" t="n">
        <x:v>89399.97</x:v>
      </x:c>
      <x:c r="Y720" s="142" t="n">
        <x:v>85110.24</x:v>
      </x:c>
      <x:c r="Z720" s="142" t="n">
        <x:v>88136.94</x:v>
      </x:c>
      <x:c r="AA720" s="142" t="n">
        <x:v>12535.748452136317</x:v>
      </x:c>
      <x:c r="AB720" s="142" t="n">
        <x:v>11692.70599002966</x:v>
      </x:c>
    </x:row>
    <x:row r="721">
      <x:c r="V721" s="141" t="n">
        <x:v>46011</x:v>
      </x:c>
      <x:c r="W721" s="142" t="n">
        <x:v>88136.95</x:v>
      </x:c>
      <x:c r="X721" s="142" t="n">
        <x:v>88573.07</x:v>
      </x:c>
      <x:c r="Y721" s="142" t="n">
        <x:v>87795.76</x:v>
      </x:c>
      <x:c r="Z721" s="142" t="n">
        <x:v>88360.9</x:v>
      </x:c>
      <x:c r="AA721" s="142" t="n">
        <x:v>12535.748452136317</x:v>
      </x:c>
      <x:c r="AB721" s="142" t="n">
        <x:v>11692.70599002966</x:v>
      </x:c>
    </x:row>
    <x:row r="722">
      <x:c r="V722" s="141" t="n">
        <x:v>46012</x:v>
      </x:c>
      <x:c r="W722" s="142" t="n">
        <x:v>88360.91</x:v>
      </x:c>
      <x:c r="X722" s="142" t="n">
        <x:v>89081.77</x:v>
      </x:c>
      <x:c r="Y722" s="142" t="n">
        <x:v>87600.04</x:v>
      </x:c>
      <x:c r="Z722" s="142" t="n">
        <x:v>88658.86</x:v>
      </x:c>
      <x:c r="AA722" s="142" t="n">
        <x:v>12535.748452136317</x:v>
      </x:c>
      <x:c r="AB722" s="142" t="n">
        <x:v>11692.70599002966</x:v>
      </x:c>
    </x:row>
    <x:row r="723">
      <x:c r="V723" s="141" t="n">
        <x:v>46013</x:v>
      </x:c>
      <x:c r="W723" s="142" t="n">
        <x:v>88658.87</x:v>
      </x:c>
      <x:c r="X723" s="142" t="n">
        <x:v>90588.23</x:v>
      </x:c>
      <x:c r="Y723" s="142" t="n">
        <x:v>87900</x:v>
      </x:c>
      <x:c r="Z723" s="142" t="n">
        <x:v>88620.79</x:v>
      </x:c>
      <x:c r="AA723" s="142" t="n">
        <x:v>12535.748452136317</x:v>
      </x:c>
      <x:c r="AB723" s="142" t="n">
        <x:v>11692.70599002966</x:v>
      </x:c>
    </x:row>
    <x:row r="724">
      <x:c r="V724" s="141" t="n">
        <x:v>46014</x:v>
      </x:c>
      <x:c r="W724" s="142" t="n">
        <x:v>88620.79</x:v>
      </x:c>
      <x:c r="X724" s="142" t="n">
        <x:v>88940</x:v>
      </x:c>
      <x:c r="Y724" s="142" t="n">
        <x:v>86601.9</x:v>
      </x:c>
      <x:c r="Z724" s="142" t="n">
        <x:v>87486</x:v>
      </x:c>
      <x:c r="AA724" s="142" t="n">
        <x:v>12535.748452136317</x:v>
      </x:c>
      <x:c r="AB724" s="142" t="n">
        <x:v>11692.70599002966</x:v>
      </x:c>
    </x:row>
    <x:row r="725">
      <x:c r="V725" s="141" t="n">
        <x:v>46015</x:v>
      </x:c>
      <x:c r="W725" s="142" t="n">
        <x:v>87486</x:v>
      </x:c>
      <x:c r="X725" s="142" t="n">
        <x:v>88049.89</x:v>
      </x:c>
      <x:c r="Y725" s="142" t="n">
        <x:v>86420</x:v>
      </x:c>
      <x:c r="Z725" s="142" t="n">
        <x:v>87669.45</x:v>
      </x:c>
      <x:c r="AA725" s="142" t="n">
        <x:v>12535.748452136317</x:v>
      </x:c>
      <x:c r="AB725" s="142" t="n">
        <x:v>11692.70599002966</x:v>
      </x:c>
    </x:row>
    <x:row r="726">
      <x:c r="V726" s="141" t="n">
        <x:v>46016</x:v>
      </x:c>
      <x:c r="W726" s="142" t="n">
        <x:v>87669.44</x:v>
      </x:c>
      <x:c r="X726" s="142" t="n">
        <x:v>88592.74</x:v>
      </x:c>
      <x:c r="Y726" s="142" t="n">
        <x:v>86934.72</x:v>
      </x:c>
      <x:c r="Z726" s="142" t="n">
        <x:v>87225.27</x:v>
      </x:c>
      <x:c r="AA726" s="142" t="n">
        <x:v>12535.748452136317</x:v>
      </x:c>
      <x:c r="AB726" s="142" t="n">
        <x:v>11692.70599002966</x:v>
      </x:c>
    </x:row>
    <x:row r="727">
      <x:c r="V727" s="141" t="n">
        <x:v>46017</x:v>
      </x:c>
      <x:c r="W727" s="142" t="n">
        <x:v>87225.27</x:v>
      </x:c>
      <x:c r="X727" s="142" t="n">
        <x:v>89567.75</x:v>
      </x:c>
      <x:c r="Y727" s="142" t="n">
        <x:v>86655.08</x:v>
      </x:c>
      <x:c r="Z727" s="142" t="n">
        <x:v>87369.56</x:v>
      </x:c>
      <x:c r="AA727" s="142" t="n">
        <x:v>12535.748452136317</x:v>
      </x:c>
      <x:c r="AB727" s="142" t="n">
        <x:v>11692.70599002966</x:v>
      </x:c>
    </x:row>
    <x:row r="728">
      <x:c r="V728" s="141" t="n">
        <x:v>46018</x:v>
      </x:c>
      <x:c r="W728" s="142" t="n">
        <x:v>87369.56</x:v>
      </x:c>
      <x:c r="X728" s="142" t="n">
        <x:v>87984</x:v>
      </x:c>
      <x:c r="Y728" s="142" t="n">
        <x:v>87253.05</x:v>
      </x:c>
      <x:c r="Z728" s="142" t="n">
        <x:v>87877.01</x:v>
      </x:c>
      <x:c r="AA728" s="142" t="n">
        <x:v>12535.748452136317</x:v>
      </x:c>
      <x:c r="AB728" s="142" t="n">
        <x:v>11692.70599002966</x:v>
      </x:c>
    </x:row>
    <x:row r="729">
      <x:c r="V729" s="141" t="n">
        <x:v>46019</x:v>
      </x:c>
      <x:c r="W729" s="142" t="n">
        <x:v>87877</x:v>
      </x:c>
      <x:c r="X729" s="142" t="n">
        <x:v>88088.75</x:v>
      </x:c>
      <x:c r="Y729" s="142" t="n">
        <x:v>87435</x:v>
      </x:c>
      <x:c r="Z729" s="142" t="n">
        <x:v>87952.71</x:v>
      </x:c>
      <x:c r="AA729" s="142" t="n">
        <x:v>12535.748452136317</x:v>
      </x:c>
      <x:c r="AB729" s="142" t="n">
        <x:v>11692.70599002966</x:v>
      </x:c>
    </x:row>
    <x:row r="730">
      <x:c r="V730" s="141" t="n">
        <x:v>46020</x:v>
      </x:c>
      <x:c r="W730" s="142" t="n">
        <x:v>87952.71</x:v>
      </x:c>
      <x:c r="X730" s="142" t="n">
        <x:v>90406.08</x:v>
      </x:c>
      <x:c r="Y730" s="142" t="n">
        <x:v>86806.5</x:v>
      </x:c>
      <x:c r="Z730" s="142" t="n">
        <x:v>87237.13</x:v>
      </x:c>
      <x:c r="AA730" s="142" t="n">
        <x:v>12535.748452136317</x:v>
      </x:c>
      <x:c r="AB730" s="142" t="n">
        <x:v>11692.70599002966</x:v>
      </x:c>
    </x:row>
    <x:row r="731">
      <x:c r="V731" s="141" t="n">
        <x:v>46021</x:v>
      </x:c>
      <x:c r="W731" s="142" t="n">
        <x:v>87237.13</x:v>
      </x:c>
      <x:c r="X731" s="142" t="n">
        <x:v>89400</x:v>
      </x:c>
      <x:c r="Y731" s="142" t="n">
        <x:v>86845.66</x:v>
      </x:c>
      <x:c r="Z731" s="142" t="n">
        <x:v>88485.49</x:v>
      </x:c>
      <x:c r="AA731" s="142" t="n">
        <x:v>12535.748452136317</x:v>
      </x:c>
      <x:c r="AB731" s="142" t="n">
        <x:v>11692.70599002966</x:v>
      </x:c>
    </x:row>
    <x:row r="732">
      <x:c r="V732" s="141" t="n">
        <x:v>46022</x:v>
      </x:c>
      <x:c r="W732" s="142" t="n">
        <x:v>88485.5</x:v>
      </x:c>
      <x:c r="X732" s="142" t="n">
        <x:v>89200</x:v>
      </x:c>
      <x:c r="Y732" s="142" t="n">
        <x:v>87250</x:v>
      </x:c>
      <x:c r="Z732" s="142" t="n">
        <x:v>87648.22</x:v>
      </x:c>
      <x:c r="AA732" s="142" t="n">
        <x:v>12535.748452136317</x:v>
      </x:c>
      <x:c r="AB732" s="142" t="n">
        <x:v>11692.70599002966</x:v>
      </x:c>
    </x:row>
    <x:row r="733">
      <x:c r="V733" s="141" t="n">
        <x:v>46023</x:v>
      </x:c>
      <x:c r="W733" s="142" t="n">
        <x:v>87648.21</x:v>
      </x:c>
      <x:c r="X733" s="142" t="n">
        <x:v>88919.45</x:v>
      </x:c>
      <x:c r="Y733" s="142" t="n">
        <x:v>87550.43</x:v>
      </x:c>
      <x:c r="Z733" s="142" t="n">
        <x:v>88839.04</x:v>
      </x:c>
      <x:c r="AA733" s="142" t="n">
        <x:v>12535.748452136317</x:v>
      </x:c>
      <x:c r="AB733" s="142" t="n">
        <x:v>11692.70599002966</x:v>
      </x:c>
    </x:row>
    <x:row r="734">
      <x:c r="V734" s="141" t="n">
        <x:v>46024</x:v>
      </x:c>
      <x:c r="W734" s="142" t="n">
        <x:v>88839.05</x:v>
      </x:c>
      <x:c r="X734" s="142" t="n">
        <x:v>90961.81</x:v>
      </x:c>
      <x:c r="Y734" s="142" t="n">
        <x:v>88379.88</x:v>
      </x:c>
      <x:c r="Z734" s="142" t="n">
        <x:v>89995.13</x:v>
      </x:c>
      <x:c r="AA734" s="142" t="n">
        <x:v>12535.748452136317</x:v>
      </x:c>
      <x:c r="AB734" s="142" t="n">
        <x:v>11692.70599002966</x:v>
      </x:c>
    </x:row>
    <x:row r="735">
      <x:c r="V735" s="141" t="n">
        <x:v>46025</x:v>
      </x:c>
      <x:c r="W735" s="142" t="n">
        <x:v>89995.14</x:v>
      </x:c>
      <x:c r="X735" s="142" t="n">
        <x:v>90741.16</x:v>
      </x:c>
      <x:c r="Y735" s="142" t="n">
        <x:v>89314.01</x:v>
      </x:c>
      <x:c r="Z735" s="142" t="n">
        <x:v>90628.01</x:v>
      </x:c>
      <x:c r="AA735" s="142" t="n">
        <x:v>12535.748452136317</x:v>
      </x:c>
      <x:c r="AB735" s="142" t="n">
        <x:v>11692.70599002966</x:v>
      </x:c>
    </x:row>
    <x:row r="736">
      <x:c r="V736" s="141" t="n">
        <x:v>46026</x:v>
      </x:c>
      <x:c r="W736" s="142" t="n">
        <x:v>90628.01</x:v>
      </x:c>
      <x:c r="X736" s="142" t="n">
        <x:v>91810</x:v>
      </x:c>
      <x:c r="Y736" s="142" t="n">
        <x:v>90628</x:v>
      </x:c>
      <x:c r="Z736" s="142" t="n">
        <x:v>91529.73</x:v>
      </x:c>
      <x:c r="AA736" s="142" t="n">
        <x:v>12535.748452136317</x:v>
      </x:c>
      <x:c r="AB736" s="142" t="n">
        <x:v>11692.70599002966</x:v>
      </x:c>
    </x:row>
    <x:row r="737">
      <x:c r="V737" s="141" t="n">
        <x:v>46027</x:v>
      </x:c>
      <x:c r="W737" s="142" t="n">
        <x:v>91529.74</x:v>
      </x:c>
      <x:c r="X737" s="142" t="n">
        <x:v>94789.08</x:v>
      </x:c>
      <x:c r="Y737" s="142" t="n">
        <x:v>91514.81</x:v>
      </x:c>
      <x:c r="Z737" s="142" t="n">
        <x:v>93859.71</x:v>
      </x:c>
      <x:c r="AA737" s="142" t="n">
        <x:v>12535.748452136317</x:v>
      </x:c>
      <x:c r="AB737" s="142" t="n">
        <x:v>11692.70599002966</x:v>
      </x:c>
    </x:row>
    <x:row r="738">
      <x:c r="V738" s="141" t="n">
        <x:v>46028</x:v>
      </x:c>
      <x:c r="W738" s="142" t="n">
        <x:v>93859.71</x:v>
      </x:c>
      <x:c r="X738" s="142" t="n">
        <x:v>94444.44</x:v>
      </x:c>
      <x:c r="Y738" s="142" t="n">
        <x:v>91262.94</x:v>
      </x:c>
      <x:c r="Z738" s="142" t="n">
        <x:v>93747.97</x:v>
      </x:c>
      <x:c r="AA738" s="142" t="n">
        <x:v>12535.748452136317</x:v>
      </x:c>
      <x:c r="AB738" s="142" t="n">
        <x:v>11692.70599002966</x:v>
      </x:c>
    </x:row>
    <x:row r="739">
      <x:c r="V739" s="141" t="n">
        <x:v>46029</x:v>
      </x:c>
      <x:c r="W739" s="142" t="n">
        <x:v>93747.97</x:v>
      </x:c>
      <x:c r="X739" s="142" t="n">
        <x:v>93747.97</x:v>
      </x:c>
      <x:c r="Y739" s="142" t="n">
        <x:v>90675.52</x:v>
      </x:c>
      <x:c r="Z739" s="142" t="n">
        <x:v>91364.16</x:v>
      </x:c>
      <x:c r="AA739" s="142" t="n">
        <x:v>12535.748452136317</x:v>
      </x:c>
      <x:c r="AB739" s="142" t="n">
        <x:v>11692.70599002966</x:v>
      </x:c>
    </x:row>
    <x:row r="740">
      <x:c r="V740" s="141" t="n">
        <x:v>46030</x:v>
      </x:c>
      <x:c r="W740" s="142" t="n">
        <x:v>91364.16</x:v>
      </x:c>
      <x:c r="X740" s="142" t="n">
        <x:v>91687.99</x:v>
      </x:c>
      <x:c r="Y740" s="142" t="n">
        <x:v>89311</x:v>
      </x:c>
      <x:c r="Z740" s="142" t="n">
        <x:v>91099.99</x:v>
      </x:c>
      <x:c r="AA740" s="142" t="n">
        <x:v>12535.748452136317</x:v>
      </x:c>
      <x:c r="AB740" s="142" t="n">
        <x:v>11692.70599002966</x:v>
      </x:c>
    </x:row>
    <x:row r="741">
      <x:c r="V741" s="141" t="n">
        <x:v>46031</x:v>
      </x:c>
      <x:c r="W741" s="142" t="n">
        <x:v>91100</x:v>
      </x:c>
      <x:c r="X741" s="142" t="n">
        <x:v>92082.55</x:v>
      </x:c>
      <x:c r="Y741" s="142" t="n">
        <x:v>89694.66</x:v>
      </x:c>
      <x:c r="Z741" s="142" t="n">
        <x:v>90641.28</x:v>
      </x:c>
      <x:c r="AA741" s="142" t="n">
        <x:v>12535.748452136317</x:v>
      </x:c>
      <x:c r="AB741" s="142" t="n">
        <x:v>11692.70599002966</x:v>
      </x:c>
    </x:row>
    <x:row r="742">
      <x:c r="V742" s="141" t="n">
        <x:v>46032</x:v>
      </x:c>
      <x:c r="W742" s="142" t="n">
        <x:v>90641.27</x:v>
      </x:c>
      <x:c r="X742" s="142" t="n">
        <x:v>90832</x:v>
      </x:c>
      <x:c r="Y742" s="142" t="n">
        <x:v>90404</x:v>
      </x:c>
      <x:c r="Z742" s="142" t="n">
        <x:v>90504.7</x:v>
      </x:c>
      <x:c r="AA742" s="142" t="n">
        <x:v>12535.748452136317</x:v>
      </x:c>
      <x:c r="AB742" s="142" t="n">
        <x:v>11692.70599002966</x:v>
      </x:c>
    </x:row>
    <x:row r="743">
      <x:c r="V743" s="141" t="n">
        <x:v>46033</x:v>
      </x:c>
      <x:c r="W743" s="142" t="n">
        <x:v>90504.7</x:v>
      </x:c>
      <x:c r="X743" s="142" t="n">
        <x:v>91283.89</x:v>
      </x:c>
      <x:c r="Y743" s="142" t="n">
        <x:v>90236</x:v>
      </x:c>
      <x:c r="Z743" s="142" t="n">
        <x:v>91013.65</x:v>
      </x:c>
      <x:c r="AA743" s="142" t="n">
        <x:v>12535.748452136317</x:v>
      </x:c>
      <x:c r="AB743" s="142" t="n">
        <x:v>11692.70599002966</x:v>
      </x:c>
    </x:row>
    <x:row r="744">
      <x:c r="V744" s="141" t="n">
        <x:v>46034</x:v>
      </x:c>
      <x:c r="W744" s="142" t="n">
        <x:v>91013.66</x:v>
      </x:c>
      <x:c r="X744" s="142" t="n">
        <x:v>92519.95</x:v>
      </x:c>
      <x:c r="Y744" s="142" t="n">
        <x:v>90128.44</x:v>
      </x:c>
      <x:c r="Z744" s="142" t="n">
        <x:v>91296.2</x:v>
      </x:c>
      <x:c r="AA744" s="142" t="n">
        <x:v>12535.748452136317</x:v>
      </x:c>
      <x:c r="AB744" s="142" t="n">
        <x:v>11692.70599002966</x:v>
      </x:c>
    </x:row>
    <x:row r="745">
      <x:c r="V745" s="141" t="n">
        <x:v>46035</x:v>
      </x:c>
      <x:c r="W745" s="142" t="n">
        <x:v>91296.2</x:v>
      </x:c>
      <x:c r="X745" s="142" t="n">
        <x:v>96495</x:v>
      </x:c>
      <x:c r="Y745" s="142" t="n">
        <x:v>91042.66</x:v>
      </x:c>
      <x:c r="Z745" s="142" t="n">
        <x:v>95414</x:v>
      </x:c>
      <x:c r="AA745" s="142" t="n">
        <x:v>12535.748452136317</x:v>
      </x:c>
      <x:c r="AB745" s="142" t="n">
        <x:v>11692.70599002966</x:v>
      </x:c>
    </x:row>
    <x:row r="746">
      <x:c r="V746" s="141" t="n">
        <x:v>46036</x:v>
      </x:c>
      <x:c r="W746" s="142" t="n">
        <x:v>95413.99</x:v>
      </x:c>
      <x:c r="X746" s="142" t="n">
        <x:v>97924.49</x:v>
      </x:c>
      <x:c r="Y746" s="142" t="n">
        <x:v>94559.28</x:v>
      </x:c>
      <x:c r="Z746" s="142" t="n">
        <x:v>96951.78</x:v>
      </x:c>
      <x:c r="AA746" s="142" t="n">
        <x:v>12535.748452136317</x:v>
      </x:c>
      <x:c r="AB746" s="142" t="n">
        <x:v>11692.70599002966</x:v>
      </x:c>
    </x:row>
    <x:row r="747">
      <x:c r="V747" s="141" t="n">
        <x:v>46037</x:v>
      </x:c>
      <x:c r="W747" s="142" t="n">
        <x:v>96951.78</x:v>
      </x:c>
      <x:c r="X747" s="142" t="n">
        <x:v>97193.34</x:v>
      </x:c>
      <x:c r="Y747" s="142" t="n">
        <x:v>95134.48</x:v>
      </x:c>
      <x:c r="Z747" s="142" t="n">
        <x:v>95604.8</x:v>
      </x:c>
      <x:c r="AA747" s="142" t="n">
        <x:v>12535.748452136317</x:v>
      </x:c>
      <x:c r="AB747" s="142" t="n">
        <x:v>11692.70599002966</x:v>
      </x:c>
    </x:row>
    <x:row r="748">
      <x:c r="V748" s="141" t="n">
        <x:v>46038</x:v>
      </x:c>
      <x:c r="W748" s="142" t="n">
        <x:v>95604.81</x:v>
      </x:c>
      <x:c r="X748" s="142" t="n">
        <x:v>95871.47</x:v>
      </x:c>
      <x:c r="Y748" s="142" t="n">
        <x:v>94293.46</x:v>
      </x:c>
      <x:c r="Z748" s="142" t="n">
        <x:v>95550.94</x:v>
      </x:c>
      <x:c r="AA748" s="142" t="n">
        <x:v>12535.748452136317</x:v>
      </x:c>
      <x:c r="AB748" s="142" t="n">
        <x:v>11692.70599002966</x:v>
      </x:c>
    </x:row>
    <x:row r="749">
      <x:c r="V749" s="141" t="n">
        <x:v>46039</x:v>
      </x:c>
      <x:c r="W749" s="142" t="n">
        <x:v>95550.94</x:v>
      </x:c>
      <x:c r="X749" s="142" t="n">
        <x:v>95639.45</x:v>
      </x:c>
      <x:c r="Y749" s="142" t="n">
        <x:v>95021.67</x:v>
      </x:c>
      <x:c r="Z749" s="142" t="n">
        <x:v>95147.77</x:v>
      </x:c>
      <x:c r="AA749" s="142" t="n">
        <x:v>12535.748452136317</x:v>
      </x:c>
      <x:c r="AB749" s="142" t="n">
        <x:v>11692.70599002966</x:v>
      </x:c>
    </x:row>
    <x:row r="750">
      <x:c r="V750" s="141" t="n">
        <x:v>46040</x:v>
      </x:c>
      <x:c r="W750" s="142" t="n">
        <x:v>95147.77</x:v>
      </x:c>
      <x:c r="X750" s="142" t="n">
        <x:v>95531.12</x:v>
      </x:c>
      <x:c r="Y750" s="142" t="n">
        <x:v>93615.4</x:v>
      </x:c>
      <x:c r="Z750" s="142" t="n">
        <x:v>93673.14</x:v>
      </x:c>
      <x:c r="AA750" s="142" t="n">
        <x:v>12535.748452136317</x:v>
      </x:c>
      <x:c r="AB750" s="142" t="n">
        <x:v>11692.70599002966</x:v>
      </x:c>
    </x:row>
    <x:row r="751">
      <x:c r="V751" s="141" t="n">
        <x:v>46041</x:v>
      </x:c>
      <x:c r="W751" s="142" t="n">
        <x:v>93673.14</x:v>
      </x:c>
      <x:c r="X751" s="142" t="n">
        <x:v>93673.14</x:v>
      </x:c>
      <x:c r="Y751" s="142" t="n">
        <x:v>91910.2</x:v>
      </x:c>
      <x:c r="Z751" s="142" t="n">
        <x:v>92631</x:v>
      </x:c>
      <x:c r="AA751" s="142" t="n">
        <x:v>12535.748452136317</x:v>
      </x:c>
      <x:c r="AB751" s="142" t="n">
        <x:v>11692.70599002966</x:v>
      </x:c>
    </x:row>
    <x:row r="752">
      <x:c r="V752" s="141" t="n">
        <x:v>46042</x:v>
      </x:c>
      <x:c r="W752" s="142" t="n">
        <x:v>92630.99</x:v>
      </x:c>
      <x:c r="X752" s="142" t="n">
        <x:v>92870</x:v>
      </x:c>
      <x:c r="Y752" s="142" t="n">
        <x:v>87895.98</x:v>
      </x:c>
      <x:c r="Z752" s="142" t="n">
        <x:v>88427.66</x:v>
      </x:c>
      <x:c r="AA752" s="142" t="n">
        <x:v>12535.748452136317</x:v>
      </x:c>
      <x:c r="AB752" s="142" t="n">
        <x:v>11692.70599002966</x:v>
      </x:c>
    </x:row>
    <x:row r="753">
      <x:c r="V753" s="141" t="n">
        <x:v>46043</x:v>
      </x:c>
      <x:c r="W753" s="142" t="n">
        <x:v>88427.66</x:v>
      </x:c>
      <x:c r="X753" s="142" t="n">
        <x:v>90574</x:v>
      </x:c>
      <x:c r="Y753" s="142" t="n">
        <x:v>87263.53</x:v>
      </x:c>
      <x:c r="Z753" s="142" t="n">
        <x:v>89454.73</x:v>
      </x:c>
      <x:c r="AA753" s="142" t="n">
        <x:v>12535.748452136317</x:v>
      </x:c>
      <x:c r="AB753" s="142" t="n">
        <x:v>11692.70599002966</x:v>
      </x:c>
    </x:row>
    <x:row r="754">
      <x:c r="V754" s="141" t="n">
        <x:v>46044</x:v>
      </x:c>
      <x:c r="W754" s="142" t="n">
        <x:v>89454.73</x:v>
      </x:c>
      <x:c r="X754" s="142" t="n">
        <x:v>90359.99</x:v>
      </x:c>
      <x:c r="Y754" s="142" t="n">
        <x:v>88515.37</x:v>
      </x:c>
      <x:c r="Z754" s="142" t="n">
        <x:v>89559.67</x:v>
      </x:c>
      <x:c r="AA754" s="142" t="n">
        <x:v>12535.748452136317</x:v>
      </x:c>
      <x:c r="AB754" s="142" t="n">
        <x:v>11692.70599002966</x:v>
      </x:c>
    </x:row>
    <x:row r="755">
      <x:c r="V755" s="141" t="n">
        <x:v>46045</x:v>
      </x:c>
      <x:c r="W755" s="142" t="n">
        <x:v>89559.68</x:v>
      </x:c>
      <x:c r="X755" s="142" t="n">
        <x:v>91224.99</x:v>
      </x:c>
      <x:c r="Y755" s="142" t="n">
        <x:v>88578.36</x:v>
      </x:c>
      <x:c r="Z755" s="142" t="n">
        <x:v>89600.26</x:v>
      </x:c>
      <x:c r="AA755" s="142" t="n">
        <x:v>12535.748452136317</x:v>
      </x:c>
      <x:c r="AB755" s="142" t="n">
        <x:v>11692.70599002966</x:v>
      </x:c>
    </x:row>
    <x:row r="756">
      <x:c r="V756" s="141" t="n">
        <x:v>46046</x:v>
      </x:c>
      <x:c r="W756" s="142" t="n">
        <x:v>89600.26</x:v>
      </x:c>
      <x:c r="X756" s="142" t="n">
        <x:v>89957.39</x:v>
      </x:c>
      <x:c r="Y756" s="142" t="n">
        <x:v>89162.08</x:v>
      </x:c>
      <x:c r="Z756" s="142" t="n">
        <x:v>89225.34</x:v>
      </x:c>
      <x:c r="AA756" s="142" t="n">
        <x:v>12535.748452136317</x:v>
      </x:c>
      <x:c r="AB756" s="142" t="n">
        <x:v>11692.70599002966</x:v>
      </x:c>
    </x:row>
    <x:row r="757">
      <x:c r="V757" s="141" t="n">
        <x:v>46047</x:v>
      </x:c>
      <x:c r="W757" s="142" t="n">
        <x:v>89225.34</x:v>
      </x:c>
      <x:c r="X757" s="142" t="n">
        <x:v>89319.13</x:v>
      </x:c>
      <x:c r="Y757" s="142" t="n">
        <x:v>86074.72</x:v>
      </x:c>
      <x:c r="Z757" s="142" t="n">
        <x:v>86670.36</x:v>
      </x:c>
      <x:c r="AA757" s="142" t="n">
        <x:v>12535.748452136317</x:v>
      </x:c>
      <x:c r="AB757" s="142" t="n">
        <x:v>11692.70599002966</x:v>
      </x:c>
    </x:row>
    <x:row r="758">
      <x:c r="V758" s="141" t="n">
        <x:v>46048</x:v>
      </x:c>
      <x:c r="W758" s="142" t="n">
        <x:v>86670.36</x:v>
      </x:c>
      <x:c r="X758" s="142" t="n">
        <x:v>88860</x:v>
      </x:c>
      <x:c r="Y758" s="142" t="n">
        <x:v>86509.63</x:v>
      </x:c>
      <x:c r="Z758" s="142" t="n">
        <x:v>88347.08</x:v>
      </x:c>
      <x:c r="AA758" s="142" t="n">
        <x:v>12535.748452136317</x:v>
      </x:c>
      <x:c r="AB758" s="142" t="n">
        <x:v>11692.70599002966</x:v>
      </x:c>
    </x:row>
    <x:row r="759">
      <x:c r="V759" s="141" t="n">
        <x:v>46049</x:v>
      </x:c>
      <x:c r="W759" s="142" t="n">
        <x:v>88347.08</x:v>
      </x:c>
      <x:c r="X759" s="142" t="n">
        <x:v>89523.16</x:v>
      </x:c>
      <x:c r="Y759" s="142" t="n">
        <x:v>87304.33</x:v>
      </x:c>
      <x:c r="Z759" s="142" t="n">
        <x:v>89250</x:v>
      </x:c>
      <x:c r="AA759" s="142" t="n">
        <x:v>12535.748452136317</x:v>
      </x:c>
      <x:c r="AB759" s="142" t="n">
        <x:v>11692.70599002966</x:v>
      </x:c>
    </x:row>
    <x:row r="760">
      <x:c r="V760" s="141" t="n">
        <x:v>46050</x:v>
      </x:c>
      <x:c r="W760" s="142" t="n">
        <x:v>89249.99</x:v>
      </x:c>
      <x:c r="X760" s="142" t="n">
        <x:v>90600</x:v>
      </x:c>
      <x:c r="Y760" s="142" t="n">
        <x:v>88833.65</x:v>
      </x:c>
      <x:c r="Z760" s="142" t="n">
        <x:v>89299.99</x:v>
      </x:c>
      <x:c r="AA760" s="142" t="n">
        <x:v>12535.748452136317</x:v>
      </x:c>
      <x:c r="AB760" s="142" t="n">
        <x:v>11692.70599002966</x:v>
      </x:c>
    </x:row>
    <x:row r="761">
      <x:c r="V761" s="141" t="n">
        <x:v>46051</x:v>
      </x:c>
      <x:c r="W761" s="142" t="n">
        <x:v>89300</x:v>
      </x:c>
      <x:c r="X761" s="142" t="n">
        <x:v>89348</x:v>
      </x:c>
      <x:c r="Y761" s="142" t="n">
        <x:v>83383.33</x:v>
      </x:c>
      <x:c r="Z761" s="142" t="n">
        <x:v>84650.16</x:v>
      </x:c>
      <x:c r="AA761" s="142" t="n">
        <x:v>12535.748452136317</x:v>
      </x:c>
      <x:c r="AB761" s="142" t="n">
        <x:v>11692.70599002966</x:v>
      </x:c>
    </x:row>
    <x:row r="762">
      <x:c r="V762" s="141" t="n">
        <x:v>46052</x:v>
      </x:c>
      <x:c r="W762" s="142" t="n">
        <x:v>84650.16</x:v>
      </x:c>
      <x:c r="X762" s="142" t="n">
        <x:v>84735.75</x:v>
      </x:c>
      <x:c r="Y762" s="142" t="n">
        <x:v>81118</x:v>
      </x:c>
      <x:c r="Z762" s="142" t="n">
        <x:v>84260.49</x:v>
      </x:c>
      <x:c r="AA762" s="142" t="n">
        <x:v>12535.748452136317</x:v>
      </x:c>
      <x:c r="AB762" s="142" t="n">
        <x:v>11692.70599002966</x:v>
      </x:c>
    </x:row>
    <x:row r="763">
      <x:c r="V763" s="141" t="n">
        <x:v>46053</x:v>
      </x:c>
      <x:c r="W763" s="142" t="n">
        <x:v>84260.5</x:v>
      </x:c>
      <x:c r="X763" s="142" t="n">
        <x:v>84270.02</x:v>
      </x:c>
      <x:c r="Y763" s="142" t="n">
        <x:v>75719.9</x:v>
      </x:c>
      <x:c r="Z763" s="142" t="n">
        <x:v>78741.09</x:v>
      </x:c>
      <x:c r="AA763" s="142" t="n">
        <x:v>12535.748452136317</x:v>
      </x:c>
      <x:c r="AB763" s="142" t="n">
        <x:v>11692.70599002966</x:v>
      </x:c>
    </x:row>
    <x:row r="764">
      <x:c r="V764" s="141" t="n">
        <x:v>46054</x:v>
      </x:c>
      <x:c r="W764" s="142" t="n">
        <x:v>78741.1</x:v>
      </x:c>
      <x:c r="X764" s="142" t="n">
        <x:v>79424</x:v>
      </x:c>
      <x:c r="Y764" s="142" t="n">
        <x:v>75700</x:v>
      </x:c>
      <x:c r="Z764" s="142" t="n">
        <x:v>76968.21</x:v>
      </x:c>
      <x:c r="AA764" s="142" t="n">
        <x:v>12535.748452136317</x:v>
      </x:c>
      <x:c r="AB764" s="142" t="n">
        <x:v>11692.70599002966</x:v>
      </x:c>
    </x:row>
    <x:row r="765">
      <x:c r="V765" s="141" t="n">
        <x:v>46055</x:v>
      </x:c>
      <x:c r="W765" s="142" t="n">
        <x:v>76968.22</x:v>
      </x:c>
      <x:c r="X765" s="142" t="n">
        <x:v>79360</x:v>
      </x:c>
      <x:c r="Y765" s="142" t="n">
        <x:v>74604</x:v>
      </x:c>
      <x:c r="Z765" s="142" t="n">
        <x:v>78738.61</x:v>
      </x:c>
      <x:c r="AA765" s="142" t="n">
        <x:v>12535.748452136317</x:v>
      </x:c>
      <x:c r="AB765" s="142" t="n">
        <x:v>11692.70599002966</x:v>
      </x:c>
    </x:row>
    <x:row r="766">
      <x:c r="V766" s="141" t="n">
        <x:v>46056</x:v>
      </x:c>
      <x:c r="W766" s="142" t="n">
        <x:v>78738.6</x:v>
      </x:c>
      <x:c r="X766" s="142" t="n">
        <x:v>79186.81</x:v>
      </x:c>
      <x:c r="Y766" s="142" t="n">
        <x:v>72945.5</x:v>
      </x:c>
      <x:c r="Z766" s="142" t="n">
        <x:v>75770.21</x:v>
      </x:c>
      <x:c r="AA766" s="142" t="n">
        <x:v>12535.748452136317</x:v>
      </x:c>
      <x:c r="AB766" s="142" t="n">
        <x:v>11692.70599002966</x:v>
      </x:c>
    </x:row>
    <x:row r="767">
      <x:c r="V767" s="141" t="n">
        <x:v>46057</x:v>
      </x:c>
      <x:c r="W767" s="142" t="n">
        <x:v>75770.21</x:v>
      </x:c>
      <x:c r="X767" s="142" t="n">
        <x:v>76971.52</x:v>
      </x:c>
      <x:c r="Y767" s="142" t="n">
        <x:v>71888</x:v>
      </x:c>
      <x:c r="Z767" s="142" t="n">
        <x:v>73165.83</x:v>
      </x:c>
      <x:c r="AA767" s="142" t="n">
        <x:v>12535.748452136317</x:v>
      </x:c>
      <x:c r="AB767" s="142" t="n">
        <x:v>11692.70599002966</x:v>
      </x:c>
    </x:row>
    <x:row r="768">
      <x:c r="V768" s="141" t="n">
        <x:v>46058</x:v>
      </x:c>
      <x:c r="W768" s="142" t="n">
        <x:v>73165.84</x:v>
      </x:c>
      <x:c r="X768" s="142" t="n">
        <x:v>73341.18</x:v>
      </x:c>
      <x:c r="Y768" s="142" t="n">
        <x:v>62345</x:v>
      </x:c>
      <x:c r="Z768" s="142" t="n">
        <x:v>62909.86</x:v>
      </x:c>
      <x:c r="AA768" s="142" t="n">
        <x:v>12535.748452136317</x:v>
      </x:c>
      <x:c r="AB768" s="142" t="n">
        <x:v>11692.70599002966</x:v>
      </x:c>
    </x:row>
    <x:row r="769">
      <x:c r="V769" s="141" t="n">
        <x:v>46059</x:v>
      </x:c>
      <x:c r="W769" s="142" t="n">
        <x:v>62909.87</x:v>
      </x:c>
      <x:c r="X769" s="142" t="n">
        <x:v>71751.33</x:v>
      </x:c>
      <x:c r="Y769" s="142" t="n">
        <x:v>60000</x:v>
      </x:c>
      <x:c r="Z769" s="142" t="n">
        <x:v>70580.26</x:v>
      </x:c>
      <x:c r="AA769" s="142" t="n">
        <x:v>12535.748452136317</x:v>
      </x:c>
      <x:c r="AB769" s="142" t="n">
        <x:v>11692.70599002966</x:v>
      </x:c>
    </x:row>
    <x:row r="770">
      <x:c r="V770" s="141" t="n">
        <x:v>46060</x:v>
      </x:c>
      <x:c r="W770" s="142" t="n">
        <x:v>70580.26</x:v>
      </x:c>
      <x:c r="X770" s="142" t="n">
        <x:v>71690.07</x:v>
      </x:c>
      <x:c r="Y770" s="142" t="n">
        <x:v>67300</x:v>
      </x:c>
      <x:c r="Z770" s="142" t="n">
        <x:v>69289.38</x:v>
      </x:c>
      <x:c r="AA770" s="142" t="n">
        <x:v>12535.748452136317</x:v>
      </x:c>
      <x:c r="AB770" s="142" t="n">
        <x:v>11692.70599002966</x:v>
      </x:c>
    </x:row>
    <x:row r="771">
      <x:c r="V771" s="141" t="n">
        <x:v>46061</x:v>
      </x:c>
      <x:c r="W771" s="142" t="n">
        <x:v>69289.37</x:v>
      </x:c>
      <x:c r="X771" s="142" t="n">
        <x:v>72271.41</x:v>
      </x:c>
      <x:c r="Y771" s="142" t="n">
        <x:v>68888</x:v>
      </x:c>
      <x:c r="Z771" s="142" t="n">
        <x:v>70330.38</x:v>
      </x:c>
      <x:c r="AA771" s="142" t="n">
        <x:v>12535.748452136317</x:v>
      </x:c>
      <x:c r="AB771" s="142" t="n">
        <x:v>11692.70599002966</x:v>
      </x:c>
    </x:row>
    <x:row r="772">
      <x:c r="V772" s="141" t="n">
        <x:v>46062</x:v>
      </x:c>
      <x:c r="W772" s="142" t="n">
        <x:v>70330.38</x:v>
      </x:c>
      <x:c r="X772" s="142" t="n">
        <x:v>71453.53</x:v>
      </x:c>
      <x:c r="Y772" s="142" t="n">
        <x:v>68308</x:v>
      </x:c>
      <x:c r="Z772" s="142" t="n">
        <x:v>70138</x:v>
      </x:c>
      <x:c r="AA772" s="142" t="n">
        <x:v>12535.748452136317</x:v>
      </x:c>
      <x:c r="AB772" s="142" t="n">
        <x:v>11692.70599002966</x:v>
      </x:c>
    </x:row>
    <x:row r="773">
      <x:c r="V773" s="141" t="n">
        <x:v>46063</x:v>
      </x:c>
      <x:c r="W773" s="142" t="n">
        <x:v>70138</x:v>
      </x:c>
      <x:c r="X773" s="142" t="n">
        <x:v>70527.59</x:v>
      </x:c>
      <x:c r="Y773" s="142" t="n">
        <x:v>67800</x:v>
      </x:c>
      <x:c r="Z773" s="142" t="n">
        <x:v>68841.29</x:v>
      </x:c>
      <x:c r="AA773" s="142" t="n">
        <x:v>12535.748452136317</x:v>
      </x:c>
      <x:c r="AB773" s="142" t="n">
        <x:v>11692.70599002966</x:v>
      </x:c>
    </x:row>
    <x:row r="774">
      <x:c r="V774" s="141" t="n">
        <x:v>46064</x:v>
      </x:c>
      <x:c r="W774" s="142" t="n">
        <x:v>68841.28</x:v>
      </x:c>
      <x:c r="X774" s="142" t="n">
        <x:v>69292.88</x:v>
      </x:c>
      <x:c r="Y774" s="142" t="n">
        <x:v>65756</x:v>
      </x:c>
      <x:c r="Z774" s="142" t="n">
        <x:v>67082.52</x:v>
      </x:c>
      <x:c r="AA774" s="142" t="n">
        <x:v>12535.748452136317</x:v>
      </x:c>
      <x:c r="AB774" s="142" t="n">
        <x:v>11692.70599002966</x:v>
      </x:c>
    </x:row>
    <x:row r="775">
      <x:c r="V775" s="141" t="n">
        <x:v>46065</x:v>
      </x:c>
      <x:c r="W775" s="142" t="n">
        <x:v>67082.52</x:v>
      </x:c>
      <x:c r="X775" s="142" t="n">
        <x:v>68410.52</x:v>
      </x:c>
      <x:c r="Y775" s="142" t="n">
        <x:v>65118</x:v>
      </x:c>
      <x:c r="Z775" s="142" t="n">
        <x:v>66272.17</x:v>
      </x:c>
      <x:c r="AA775" s="142" t="n">
        <x:v>12535.748452136317</x:v>
      </x:c>
      <x:c r="AB775" s="142" t="n">
        <x:v>11692.70599002966</x:v>
      </x:c>
    </x:row>
    <x:row r="776">
      <x:c r="V776" s="141" t="n">
        <x:v>46066</x:v>
      </x:c>
      <x:c r="W776" s="142" t="n">
        <x:v>66272.17</x:v>
      </x:c>
      <x:c r="X776" s="142" t="n">
        <x:v>69482.97</x:v>
      </x:c>
      <x:c r="Y776" s="142" t="n">
        <x:v>65872.46</x:v>
      </x:c>
      <x:c r="Z776" s="142" t="n">
        <x:v>68853.96</x:v>
      </x:c>
      <x:c r="AA776" s="142" t="n">
        <x:v>12535.748452136317</x:v>
      </x:c>
      <x:c r="AB776" s="142" t="n">
        <x:v>11692.70599002966</x:v>
      </x:c>
    </x:row>
    <x:row r="777">
      <x:c r="V777" s="141" t="n">
        <x:v>46067</x:v>
      </x:c>
      <x:c r="W777" s="142" t="n">
        <x:v>68853.97</x:v>
      </x:c>
      <x:c r="X777" s="142" t="n">
        <x:v>70560.01</x:v>
      </x:c>
      <x:c r="Y777" s="142" t="n">
        <x:v>68730.13</x:v>
      </x:c>
      <x:c r="Z777" s="142" t="n">
        <x:v>69822.95</x:v>
      </x:c>
      <x:c r="AA777" s="142" t="n">
        <x:v>12535.748452136317</x:v>
      </x:c>
      <x:c r="AB777" s="142" t="n">
        <x:v>11692.70599002966</x:v>
      </x:c>
    </x:row>
    <x:row r="778">
      <x:c r="V778" s="141" t="n">
        <x:v>46068</x:v>
      </x:c>
      <x:c r="W778" s="142" t="n">
        <x:v>69822.94</x:v>
      </x:c>
      <x:c r="X778" s="142" t="n">
        <x:v>70983</x:v>
      </x:c>
      <x:c r="Y778" s="142" t="n">
        <x:v>68000</x:v>
      </x:c>
      <x:c r="Z778" s="142" t="n">
        <x:v>68832.58</x:v>
      </x:c>
      <x:c r="AA778" s="142" t="n">
        <x:v>12535.748452136317</x:v>
      </x:c>
      <x:c r="AB778" s="142" t="n">
        <x:v>11692.70599002966</x:v>
      </x:c>
    </x:row>
    <x:row r="779">
      <x:c r="V779" s="141" t="n">
        <x:v>46069</x:v>
      </x:c>
      <x:c r="W779" s="142" t="n">
        <x:v>68832.59</x:v>
      </x:c>
      <x:c r="X779" s="142" t="n">
        <x:v>70126.67</x:v>
      </x:c>
      <x:c r="Y779" s="142" t="n">
        <x:v>67294.11</x:v>
      </x:c>
      <x:c r="Z779" s="142" t="n">
        <x:v>68892.43</x:v>
      </x:c>
      <x:c r="AA779" s="142" t="n">
        <x:v>12535.748452136317</x:v>
      </x:c>
      <x:c r="AB779" s="142" t="n">
        <x:v>11692.70599002966</x:v>
      </x:c>
    </x:row>
    <x:row r="780">
      <x:c r="V780" s="141" t="n">
        <x:v>46070</x:v>
      </x:c>
      <x:c r="W780" s="142" t="n">
        <x:v>68892.43</x:v>
      </x:c>
      <x:c r="X780" s="142" t="n">
        <x:v>69241.5</x:v>
      </x:c>
      <x:c r="Y780" s="142" t="n">
        <x:v>66621.06</x:v>
      </x:c>
      <x:c r="Z780" s="142" t="n">
        <x:v>67503.52</x:v>
      </x:c>
      <x:c r="AA780" s="142" t="n">
        <x:v>12535.748452136317</x:v>
      </x:c>
      <x:c r="AB780" s="142" t="n">
        <x:v>11692.70599002966</x:v>
      </x:c>
    </x:row>
    <x:row r="781">
      <x:c r="V781" s="141" t="n">
        <x:v>46071</x:v>
      </x:c>
      <x:c r="W781" s="142" t="n">
        <x:v>67503.52</x:v>
      </x:c>
      <x:c r="X781" s="142" t="n">
        <x:v>68476.22</x:v>
      </x:c>
      <x:c r="Y781" s="142" t="n">
        <x:v>65870</x:v>
      </x:c>
      <x:c r="Z781" s="142" t="n">
        <x:v>66461</x:v>
      </x:c>
      <x:c r="AA781" s="142" t="n">
        <x:v>12535.748452136317</x:v>
      </x:c>
      <x:c r="AB781" s="142" t="n">
        <x:v>11692.70599002966</x:v>
      </x:c>
    </x:row>
    <x:row r="782">
      <x:c r="V782" s="141" t="n">
        <x:v>46072</x:v>
      </x:c>
      <x:c r="W782" s="142" t="n">
        <x:v>66461</x:v>
      </x:c>
      <x:c r="X782" s="142" t="n">
        <x:v>67320</x:v>
      </x:c>
      <x:c r="Y782" s="142" t="n">
        <x:v>65631.83</x:v>
      </x:c>
      <x:c r="Z782" s="142" t="n">
        <x:v>67003.73</x:v>
      </x:c>
      <x:c r="AA782" s="142" t="n">
        <x:v>12535.748452136317</x:v>
      </x:c>
      <x:c r="AB782" s="142" t="n">
        <x:v>11692.70599002966</x:v>
      </x:c>
    </x:row>
    <x:row r="783">
      <x:c r="V783" s="141" t="n">
        <x:v>46073</x:v>
      </x:c>
      <x:c r="W783" s="142" t="n">
        <x:v>67003.73</x:v>
      </x:c>
      <x:c r="X783" s="142" t="n">
        <x:v>68318.39</x:v>
      </x:c>
      <x:c r="Y783" s="142" t="n">
        <x:v>66280.2</x:v>
      </x:c>
      <x:c r="Z783" s="142" t="n">
        <x:v>68020.01</x:v>
      </x:c>
      <x:c r="AA783" s="142" t="n">
        <x:v>12535.748452136317</x:v>
      </x:c>
      <x:c r="AB783" s="142" t="n">
        <x:v>11692.70599002966</x:v>
      </x:c>
    </x:row>
    <x:row r="784">
      <x:c r="V784" s="141" t="n">
        <x:v>46074</x:v>
      </x:c>
      <x:c r="W784" s="142" t="n">
        <x:v>68020</x:v>
      </x:c>
      <x:c r="X784" s="142" t="n">
        <x:v>68698.7</x:v>
      </x:c>
      <x:c r="Y784" s="142" t="n">
        <x:v>67534.69</x:v>
      </x:c>
      <x:c r="Z784" s="142" t="n">
        <x:v>67975.93</x:v>
      </x:c>
      <x:c r="AA784" s="142" t="n">
        <x:v>12535.748452136317</x:v>
      </x:c>
      <x:c r="AB784" s="142" t="n">
        <x:v>11692.70599002966</x:v>
      </x:c>
    </x:row>
    <x:row r="785">
      <x:c r="V785" s="141" t="n">
        <x:v>46075</x:v>
      </x:c>
      <x:c r="W785" s="142" t="n">
        <x:v>67975.93</x:v>
      </x:c>
      <x:c r="X785" s="142" t="n">
        <x:v>68245</x:v>
      </x:c>
      <x:c r="Y785" s="142" t="n">
        <x:v>67190</x:v>
      </x:c>
      <x:c r="Z785" s="142" t="n">
        <x:v>67643.4</x:v>
      </x:c>
      <x:c r="AA785" s="142" t="n">
        <x:v>12535.748452136317</x:v>
      </x:c>
      <x:c r="AB785" s="142" t="n">
        <x:v>11692.70599002966</x:v>
      </x:c>
    </x:row>
    <x:row r="786">
      <x:c r="V786" s="141" t="n">
        <x:v>46076</x:v>
      </x:c>
      <x:c r="W786" s="142" t="n">
        <x:v>67643.39</x:v>
      </x:c>
      <x:c r="X786" s="142" t="n">
        <x:v>67684.86</x:v>
      </x:c>
      <x:c r="Y786" s="142" t="n">
        <x:v>63888.79</x:v>
      </x:c>
      <x:c r="Z786" s="142" t="n">
        <x:v>64656.02</x:v>
      </x:c>
      <x:c r="AA786" s="142" t="n">
        <x:v>12535.748452136317</x:v>
      </x:c>
      <x:c r="AB786" s="142" t="n">
        <x:v>11692.70599002966</x:v>
      </x:c>
    </x:row>
    <x:row r="787">
      <x:c r="V787" s="141" t="n">
        <x:v>46077</x:v>
      </x:c>
      <x:c r="W787" s="142" t="n">
        <x:v>64656.01</x:v>
      </x:c>
      <x:c r="X787" s="142" t="n">
        <x:v>65026.75</x:v>
      </x:c>
      <x:c r="Y787" s="142" t="n">
        <x:v>62510.28</x:v>
      </x:c>
      <x:c r="Z787" s="142" t="n">
        <x:v>64058.15</x:v>
      </x:c>
      <x:c r="AA787" s="142" t="n">
        <x:v>12535.748452136317</x:v>
      </x:c>
      <x:c r="AB787" s="142" t="n">
        <x:v>11692.70599002966</x:v>
      </x:c>
    </x:row>
    <x:row r="788">
      <x:c r="V788" s="141" t="n">
        <x:v>46078</x:v>
      </x:c>
      <x:c r="W788" s="142" t="n">
        <x:v>64058.15</x:v>
      </x:c>
      <x:c r="X788" s="142" t="n">
        <x:v>69988.83</x:v>
      </x:c>
      <x:c r="Y788" s="142" t="n">
        <x:v>63913.27</x:v>
      </x:c>
      <x:c r="Z788" s="142" t="n">
        <x:v>67988.04</x:v>
      </x:c>
      <x:c r="AA788" s="142" t="n">
        <x:v>12535.748452136317</x:v>
      </x:c>
      <x:c r="AB788" s="142" t="n">
        <x:v>11692.70599002966</x:v>
      </x:c>
    </x:row>
    <x:row r="789">
      <x:c r="V789" s="141" t="n">
        <x:v>46079</x:v>
      </x:c>
      <x:c r="W789" s="142" t="n">
        <x:v>67988.04</x:v>
      </x:c>
      <x:c r="X789" s="142" t="n">
        <x:v>68860</x:v>
      </x:c>
      <x:c r="Y789" s="142" t="n">
        <x:v>66500</x:v>
      </x:c>
      <x:c r="Z789" s="142" t="n">
        <x:v>67485.18</x:v>
      </x:c>
      <x:c r="AA789" s="142" t="n">
        <x:v>12535.748452136317</x:v>
      </x:c>
      <x:c r="AB789" s="142" t="n">
        <x:v>11692.70599002966</x:v>
      </x:c>
    </x:row>
    <x:row r="790">
      <x:c r="V790" s="141" t="n">
        <x:v>46080</x:v>
      </x:c>
      <x:c r="W790" s="142" t="n">
        <x:v>67485.19</x:v>
      </x:c>
      <x:c r="X790" s="142" t="n">
        <x:v>68216.8</x:v>
      </x:c>
      <x:c r="Y790" s="142" t="n">
        <x:v>64914.46</x:v>
      </x:c>
      <x:c r="Z790" s="142" t="n">
        <x:v>65872.1</x:v>
      </x:c>
      <x:c r="AA790" s="142" t="n">
        <x:v>12535.748452136317</x:v>
      </x:c>
      <x:c r="AB790" s="142" t="n">
        <x:v>11692.70599002966</x:v>
      </x:c>
    </x:row>
    <x:row r="791">
      <x:c r="V791" s="141" t="n">
        <x:v>46081</x:v>
      </x:c>
      <x:c r="W791" s="142" t="n">
        <x:v>65872.09</x:v>
      </x:c>
      <x:c r="X791" s="142" t="n">
        <x:v>67760</x:v>
      </x:c>
      <x:c r="Y791" s="142" t="n">
        <x:v>63030</x:v>
      </x:c>
      <x:c r="Z791" s="142" t="n">
        <x:v>66973.26</x:v>
      </x:c>
      <x:c r="AA791" s="142" t="n">
        <x:v>12535.748452136317</x:v>
      </x:c>
      <x:c r="AB791" s="142" t="n">
        <x:v>11692.70599002966</x:v>
      </x:c>
    </x:row>
    <x:row r="792">
      <x:c r="V792" s="141" t="n">
        <x:v>46082</x:v>
      </x:c>
      <x:c r="W792" s="142" t="n">
        <x:v>66973.26</x:v>
      </x:c>
      <x:c r="X792" s="142" t="n">
        <x:v>68199.99</x:v>
      </x:c>
      <x:c r="Y792" s="142" t="n">
        <x:v>65056</x:v>
      </x:c>
      <x:c r="Z792" s="142" t="n">
        <x:v>65776.47</x:v>
      </x:c>
      <x:c r="AA792" s="142" t="n">
        <x:v>12535.748452136317</x:v>
      </x:c>
      <x:c r="AB792" s="142" t="n">
        <x:v>11692.70599002966</x:v>
      </x:c>
    </x:row>
    <x:row r="793">
      <x:c r="V793" s="141" t="n">
        <x:v>46083</x:v>
      </x:c>
      <x:c r="W793" s="142" t="n">
        <x:v>65776.48</x:v>
      </x:c>
      <x:c r="X793" s="142" t="n">
        <x:v>70096</x:v>
      </x:c>
      <x:c r="Y793" s="142" t="n">
        <x:v>65259.21</x:v>
      </x:c>
      <x:c r="Z793" s="142" t="n">
        <x:v>68830.06</x:v>
      </x:c>
      <x:c r="AA793" s="142" t="n">
        <x:v>12535.748452136317</x:v>
      </x:c>
      <x:c r="AB793" s="142" t="n">
        <x:v>11692.70599002966</x:v>
      </x:c>
    </x:row>
    <x:row r="794">
      <x:c r="V794" s="141" t="n">
        <x:v>46084</x:v>
      </x:c>
      <x:c r="W794" s="142" t="n">
        <x:v>68830.06</x:v>
      </x:c>
      <x:c r="X794" s="142" t="n">
        <x:v>69258.08</x:v>
      </x:c>
      <x:c r="Y794" s="142" t="n">
        <x:v>66158</x:v>
      </x:c>
      <x:c r="Z794" s="142" t="n">
        <x:v>68338</x:v>
      </x:c>
      <x:c r="AA794" s="142" t="n">
        <x:v>12535.748452136317</x:v>
      </x:c>
      <x:c r="AB794" s="142" t="n">
        <x:v>11692.70599002966</x:v>
      </x:c>
    </x:row>
    <x:row r="795">
      <x:c r="V795" s="141" t="n">
        <x:v>46085</x:v>
      </x:c>
      <x:c r="W795" s="142" t="n">
        <x:v>68338.01</x:v>
      </x:c>
      <x:c r="X795" s="142" t="n">
        <x:v>74050</x:v>
      </x:c>
      <x:c r="Y795" s="142" t="n">
        <x:v>67400</x:v>
      </x:c>
      <x:c r="Z795" s="142" t="n">
        <x:v>72666.77</x:v>
      </x:c>
      <x:c r="AA795" s="142" t="n">
        <x:v>12535.748452136317</x:v>
      </x:c>
      <x:c r="AB795" s="142" t="n">
        <x:v>11692.70599002966</x:v>
      </x:c>
    </x:row>
    <x:row r="796">
      <x:c r="V796" s="141" t="n">
        <x:v>46086</x:v>
      </x:c>
      <x:c r="W796" s="142" t="n">
        <x:v>72666.77</x:v>
      </x:c>
      <x:c r="X796" s="142" t="n">
        <x:v>73558.15</x:v>
      </x:c>
      <x:c r="Y796" s="142" t="n">
        <x:v>70645.47</x:v>
      </x:c>
      <x:c r="Z796" s="142" t="n">
        <x:v>70890.72</x:v>
      </x:c>
      <x:c r="AA796" s="142" t="n">
        <x:v>12535.748452136317</x:v>
      </x:c>
      <x:c r="AB796" s="142" t="n">
        <x:v>11692.70599002966</x:v>
      </x:c>
    </x:row>
    <x:row r="797">
      <x:c r="V797" s="141" t="n">
        <x:v>46087</x:v>
      </x:c>
      <x:c r="W797" s="142" t="n">
        <x:v>70891.02</x:v>
      </x:c>
      <x:c r="X797" s="142" t="n">
        <x:v>71419.98</x:v>
      </x:c>
      <x:c r="Y797" s="142" t="n">
        <x:v>67744.78</x:v>
      </x:c>
      <x:c r="Z797" s="142" t="n">
        <x:v>68114.02</x:v>
      </x:c>
      <x:c r="AA797" s="142" t="n">
        <x:v>12535.748452136317</x:v>
      </x:c>
      <x:c r="AB797" s="142" t="n">
        <x:v>11692.70599002966</x:v>
      </x:c>
    </x:row>
    <x:row r="798">
      <x:c r="V798" s="141" t="n">
        <x:v>46088</x:v>
      </x:c>
      <x:c r="W798" s="142" t="n">
        <x:v>68114.02</x:v>
      </x:c>
      <x:c r="X798" s="142" t="n">
        <x:v>68551.04</x:v>
      </x:c>
      <x:c r="Y798" s="142" t="n">
        <x:v>66915.26</x:v>
      </x:c>
      <x:c r="Z798" s="142" t="n">
        <x:v>67262.91</x:v>
      </x:c>
      <x:c r="AA798" s="142" t="n">
        <x:v>12535.748452136317</x:v>
      </x:c>
      <x:c r="AB798" s="142" t="n">
        <x:v>11692.70599002966</x:v>
      </x:c>
    </x:row>
    <x:row r="799">
      <x:c r="V799" s="141" t="n">
        <x:v>46089</x:v>
      </x:c>
      <x:c r="W799" s="142" t="n">
        <x:v>67262.91</x:v>
      </x:c>
      <x:c r="X799" s="142" t="n">
        <x:v>68200</x:v>
      </x:c>
      <x:c r="Y799" s="142" t="n">
        <x:v>65618.49</x:v>
      </x:c>
      <x:c r="Z799" s="142" t="n">
        <x:v>65971.2</x:v>
      </x:c>
      <x:c r="AA799" s="142" t="n">
        <x:v>12535.748452136317</x:v>
      </x:c>
      <x:c r="AB799" s="142" t="n">
        <x:v>11692.70599002966</x:v>
      </x:c>
    </x:row>
    <x:row r="800">
      <x:c r="V800" s="141" t="n">
        <x:v>46090</x:v>
      </x:c>
      <x:c r="W800" s="142" t="n">
        <x:v>65971.2</x:v>
      </x:c>
      <x:c r="X800" s="142" t="n">
        <x:v>69516.65</x:v>
      </x:c>
      <x:c r="Y800" s="142" t="n">
        <x:v>65821.97</x:v>
      </x:c>
      <x:c r="Z800" s="142" t="n">
        <x:v>68432.16</x:v>
      </x:c>
      <x:c r="AA800" s="142" t="n">
        <x:v>12535.748452136317</x:v>
      </x:c>
      <x:c r="AB800" s="142" t="n">
        <x:v>11692.70599002966</x:v>
      </x:c>
    </x:row>
    <x:row r="801">
      <x:c r="V801" s="141" t="n">
        <x:v>46091</x:v>
      </x:c>
      <x:c r="W801" s="142" t="n">
        <x:v>68432.16</x:v>
      </x:c>
      <x:c r="X801" s="142" t="n">
        <x:v>71777</x:v>
      </x:c>
      <x:c r="Y801" s="142" t="n">
        <x:v>68391.41</x:v>
      </x:c>
      <x:c r="Z801" s="142" t="n">
        <x:v>69948.63</x:v>
      </x:c>
      <x:c r="AA801" s="142" t="n">
        <x:v>12535.748452136317</x:v>
      </x:c>
      <x:c r="AB801" s="142" t="n">
        <x:v>11692.70599002966</x:v>
      </x:c>
    </x:row>
    <x:row r="802">
      <x:c r="V802" s="141" t="n">
        <x:v>46092</x:v>
      </x:c>
      <x:c r="W802" s="142" t="n">
        <x:v>69948.64</x:v>
      </x:c>
      <x:c r="X802" s="142" t="n">
        <x:v>71321</x:v>
      </x:c>
      <x:c r="Y802" s="142" t="n">
        <x:v>68977.91</x:v>
      </x:c>
      <x:c r="Z802" s="142" t="n">
        <x:v>70191.86</x:v>
      </x:c>
      <x:c r="AA802" s="142" t="n">
        <x:v>12535.748452136317</x:v>
      </x:c>
      <x:c r="AB802" s="142" t="n">
        <x:v>11692.70599002966</x:v>
      </x:c>
    </x:row>
    <x:row r="803">
      <x:c r="V803" s="141" t="n">
        <x:v>46093</x:v>
      </x:c>
      <x:c r="W803" s="142" t="n">
        <x:v>70191.86</x:v>
      </x:c>
      <x:c r="X803" s="142" t="n">
        <x:v>70800</x:v>
      </x:c>
      <x:c r="Y803" s="142" t="n">
        <x:v>69205.91</x:v>
      </x:c>
      <x:c r="Z803" s="142" t="n">
        <x:v>70541.34</x:v>
      </x:c>
      <x:c r="AA803" s="142" t="n">
        <x:v>12535.748452136317</x:v>
      </x:c>
      <x:c r="AB803" s="142" t="n">
        <x:v>11692.70599002966</x:v>
      </x:c>
    </x:row>
    <x:row r="804">
      <x:c r="V804" s="141" t="n">
        <x:v>46094</x:v>
      </x:c>
      <x:c r="W804" s="142" t="n">
        <x:v>70541.34</x:v>
      </x:c>
      <x:c r="X804" s="142" t="n">
        <x:v>73913.74</x:v>
      </x:c>
      <x:c r="Y804" s="142" t="n">
        <x:v>70386.01</x:v>
      </x:c>
      <x:c r="Z804" s="142" t="n">
        <x:v>70930</x:v>
      </x:c>
      <x:c r="AA804" s="142" t="n">
        <x:v>12535.748452136317</x:v>
      </x:c>
      <x:c r="AB804" s="142" t="n">
        <x:v>11692.70599002966</x:v>
      </x:c>
    </x:row>
    <x:row r="805">
      <x:c r="V805" s="141" t="n">
        <x:v>46095</x:v>
      </x:c>
      <x:c r="W805" s="142" t="n">
        <x:v>70930.01</x:v>
      </x:c>
      <x:c r="X805" s="142" t="n">
        <x:v>71307.92</x:v>
      </x:c>
      <x:c r="Y805" s="142" t="n">
        <x:v>70317</x:v>
      </x:c>
      <x:c r="Z805" s="142" t="n">
        <x:v>71211.95</x:v>
      </x:c>
      <x:c r="AA805" s="142" t="n">
        <x:v>12535.748452136317</x:v>
      </x:c>
      <x:c r="AB805" s="142" t="n">
        <x:v>11692.70599002966</x:v>
      </x:c>
    </x:row>
    <x:row r="806">
      <x:c r="V806" s="141" t="n">
        <x:v>46096</x:v>
      </x:c>
      <x:c r="W806" s="142" t="n">
        <x:v>71211.95</x:v>
      </x:c>
      <x:c r="X806" s="142" t="n">
        <x:v>73199</x:v>
      </x:c>
      <x:c r="Y806" s="142" t="n">
        <x:v>70858.82</x:v>
      </x:c>
      <x:c r="Z806" s="142" t="n">
        <x:v>72815.24</x:v>
      </x:c>
      <x:c r="AA806" s="142" t="n">
        <x:v>12535.748452136317</x:v>
      </x:c>
      <x:c r="AB806" s="142" t="n">
        <x:v>11692.70599002966</x:v>
      </x:c>
    </x:row>
    <x:row r="807">
      <x:c r="V807" s="141" t="n">
        <x:v>46097</x:v>
      </x:c>
      <x:c r="W807" s="142" t="n">
        <x:v>72815.25</x:v>
      </x:c>
      <x:c r="X807" s="142" t="n">
        <x:v>74909.08</x:v>
      </x:c>
      <x:c r="Y807" s="142" t="n">
        <x:v>72270.41</x:v>
      </x:c>
      <x:c r="Z807" s="142" t="n">
        <x:v>74884.67</x:v>
      </x:c>
      <x:c r="AA807" s="142" t="n">
        <x:v>12535.748452136317</x:v>
      </x:c>
      <x:c r="AB807" s="142" t="n">
        <x:v>11692.70599002966</x:v>
      </x:c>
    </x:row>
    <x:row r="808">
      <x:c r="V808" s="141" t="n">
        <x:v>46098</x:v>
      </x:c>
      <x:c r="W808" s="142" t="n">
        <x:v>74884.67</x:v>
      </x:c>
      <x:c r="X808" s="142" t="n">
        <x:v>76000</x:v>
      </x:c>
      <x:c r="Y808" s="142" t="n">
        <x:v>73399.19</x:v>
      </x:c>
      <x:c r="Z808" s="142" t="n">
        <x:v>73909.36</x:v>
      </x:c>
      <x:c r="AA808" s="142" t="n">
        <x:v>12535.748452136317</x:v>
      </x:c>
      <x:c r="AB808" s="142" t="n">
        <x:v>11692.70599002966</x:v>
      </x:c>
    </x:row>
    <x:row r="809">
      <x:c r="V809" s="141" t="n">
        <x:v>46099</x:v>
      </x:c>
      <x:c r="W809" s="142" t="n">
        <x:v>73909.37</x:v>
      </x:c>
      <x:c r="X809" s="142" t="n">
        <x:v>74672.34</x:v>
      </x:c>
      <x:c r="Y809" s="142" t="n">
        <x:v>70500</x:v>
      </x:c>
      <x:c r="Z809" s="142" t="n">
        <x:v>71246.54</x:v>
      </x:c>
      <x:c r="AA809" s="142" t="n">
        <x:v>12535.748452136317</x:v>
      </x:c>
      <x:c r="AB809" s="142" t="n">
        <x:v>11692.70599002966</x:v>
      </x:c>
    </x:row>
    <x:row r="810">
      <x:c r="V810" s="141" t="n">
        <x:v>46100</x:v>
      </x:c>
      <x:c r="W810" s="142" t="n">
        <x:v>71246.55</x:v>
      </x:c>
      <x:c r="X810" s="142" t="n">
        <x:v>71613.79</x:v>
      </x:c>
      <x:c r="Y810" s="142" t="n">
        <x:v>68793.35</x:v>
      </x:c>
      <x:c r="Z810" s="142" t="n">
        <x:v>69930</x:v>
      </x:c>
      <x:c r="AA810" s="142" t="n">
        <x:v>12535.748452136317</x:v>
      </x:c>
      <x:c r="AB810" s="142" t="n">
        <x:v>11692.70599002966</x:v>
      </x:c>
    </x:row>
    <x:row r="811">
      <x:c r="V811" s="141" t="n">
        <x:v>46101</x:v>
      </x:c>
      <x:c r="W811" s="142" t="n">
        <x:v>69930.01</x:v>
      </x:c>
      <x:c r="X811" s="142" t="n">
        <x:v>71367</x:v>
      </x:c>
      <x:c r="Y811" s="142" t="n">
        <x:v>69388</x:v>
      </x:c>
      <x:c r="Z811" s="142" t="n">
        <x:v>70510.73</x:v>
      </x:c>
      <x:c r="AA811" s="142" t="n">
        <x:v>12535.748452136317</x:v>
      </x:c>
      <x:c r="AB811" s="142" t="n">
        <x:v>11692.70599002966</x:v>
      </x:c>
    </x:row>
    <x:row r="812">
      <x:c r="V812" s="141" t="n">
        <x:v>46102</x:v>
      </x:c>
      <x:c r="W812" s="142" t="n">
        <x:v>70510.73</x:v>
      </x:c>
      <x:c r="X812" s="142" t="n">
        <x:v>71100.94</x:v>
      </x:c>
      <x:c r="Y812" s="142" t="n">
        <x:v>68571.42</x:v>
      </x:c>
      <x:c r="Z812" s="142" t="n">
        <x:v>68918.12</x:v>
      </x:c>
      <x:c r="AA812" s="142" t="n">
        <x:v>12535.748452136317</x:v>
      </x:c>
      <x:c r="AB812" s="142" t="n">
        <x:v>11692.70599002966</x:v>
      </x:c>
    </x:row>
    <x:row r="813">
      <x:c r="V813" s="141" t="n">
        <x:v>46103</x:v>
      </x:c>
      <x:c r="W813" s="142" t="n">
        <x:v>68918.12</x:v>
      </x:c>
      <x:c r="X813" s="142" t="n">
        <x:v>69588.79</x:v>
      </x:c>
      <x:c r="Y813" s="142" t="n">
        <x:v>67360.66</x:v>
      </x:c>
      <x:c r="Z813" s="142" t="n">
        <x:v>67859</x:v>
      </x:c>
      <x:c r="AA813" s="142" t="n">
        <x:v>12535.748452136317</x:v>
      </x:c>
      <x:c r="AB813" s="142" t="n">
        <x:v>11692.70599002966</x:v>
      </x:c>
    </x:row>
    <x:row r="814">
      <x:c r="V814" s="141" t="n">
        <x:v>46104</x:v>
      </x:c>
      <x:c r="W814" s="142" t="n">
        <x:v>67859</x:v>
      </x:c>
      <x:c r="X814" s="142" t="n">
        <x:v>71817.09</x:v>
      </x:c>
      <x:c r="Y814" s="142" t="n">
        <x:v>67445.18</x:v>
      </x:c>
      <x:c r="Z814" s="142" t="n">
        <x:v>70906.45</x:v>
      </x:c>
      <x:c r="AA814" s="142" t="n">
        <x:v>12535.748452136317</x:v>
      </x:c>
      <x:c r="AB814" s="142" t="n">
        <x:v>11692.70599002966</x:v>
      </x:c>
    </x:row>
    <x:row r="815">
      <x:c r="V815" s="141" t="n">
        <x:v>46105</x:v>
      </x:c>
      <x:c r="W815" s="142" t="n">
        <x:v>70906.45</x:v>
      </x:c>
      <x:c r="X815" s="142" t="n">
        <x:v>71400</x:v>
      </x:c>
      <x:c r="Y815" s="142" t="n">
        <x:v>68923.07</x:v>
      </x:c>
      <x:c r="Z815" s="142" t="n">
        <x:v>70556.74</x:v>
      </x:c>
      <x:c r="AA815" s="142" t="n">
        <x:v>12476.428538362607</x:v>
      </x:c>
      <x:c r="AB815" s="142" t="n">
        <x:v>11633.38607625595</x:v>
      </x:c>
    </x:row>
    <x:row r="816">
      <x:c r="V816" s="141" t="n">
        <x:v>46106</x:v>
      </x:c>
      <x:c r="W816" s="142" t="n">
        <x:v>70556.74</x:v>
      </x:c>
      <x:c r="X816" s="142" t="n">
        <x:v>72026.09</x:v>
      </x:c>
      <x:c r="Y816" s="142" t="n">
        <x:v>70408</x:v>
      </x:c>
      <x:c r="Z816" s="142" t="n">
        <x:v>71336.53</x:v>
      </x:c>
      <x:c r="AA816" s="142" t="n">
        <x:v>12586.403018822422</x:v>
      </x:c>
      <x:c r="AB816" s="142" t="n">
        <x:v>11743.360556715767</x:v>
      </x:c>
    </x:row>
    <x:row r="817">
      <x:c r="V817" s="141" t="n">
        <x:v>46107</x:v>
      </x:c>
      <x:c r="W817" s="142" t="n">
        <x:v>71336.53</x:v>
      </x:c>
      <x:c r="X817" s="142" t="n">
        <x:v>71436.82</x:v>
      </x:c>
      <x:c r="Y817" s="142" t="n">
        <x:v>68153</x:v>
      </x:c>
      <x:c r="Z817" s="142" t="n">
        <x:v>68820.31</x:v>
      </x:c>
      <x:c r="AA817" s="142" t="n">
        <x:v>12231.538263923538</x:v>
      </x:c>
      <x:c r="AB817" s="142" t="n">
        <x:v>11388.495801816882</x:v>
      </x:c>
    </x:row>
    <x:row r="818">
      <x:c r="V818" s="141" t="n">
        <x:v>46108</x:v>
      </x:c>
      <x:c r="W818" s="142" t="n">
        <x:v>68820.31</x:v>
      </x:c>
      <x:c r="X818" s="142" t="n">
        <x:v>69179.05</x:v>
      </x:c>
      <x:c r="Y818" s="142" t="n">
        <x:v>65548.25</x:v>
      </x:c>
      <x:c r="Z818" s="142" t="n">
        <x:v>66407.28</x:v>
      </x:c>
      <x:c r="AA818" s="142" t="n">
        <x:v>11891.226486927228</x:v>
      </x:c>
      <x:c r="AB818" s="142" t="n">
        <x:v>11048.184024820572</x:v>
      </x:c>
    </x:row>
    <x:row r="819">
      <x:c r="V819" s="141" t="n">
        <x:v>46109</x:v>
      </x:c>
      <x:c r="W819" s="142" t="n">
        <x:v>66407.28</x:v>
      </x:c>
      <x:c r="X819" s="142" t="n">
        <x:v>67288.94</x:v>
      </x:c>
      <x:c r="Y819" s="142" t="n">
        <x:v>65932.09</x:v>
      </x:c>
      <x:c r="Z819" s="142" t="n">
        <x:v>66377.03</x:v>
      </x:c>
      <x:c r="AA819" s="142" t="n">
        <x:v>11886.960302398176</x:v>
      </x:c>
      <x:c r="AB819" s="142" t="n">
        <x:v>11043.91784029152</x:v>
      </x:c>
    </x:row>
    <x:row r="820">
      <x:c r="V820" s="141" t="n">
        <x:v>46110</x:v>
      </x:c>
      <x:c r="W820" s="142" t="n">
        <x:v>66377.04</x:v>
      </x:c>
      <x:c r="X820" s="142" t="n">
        <x:v>67130.5</x:v>
      </x:c>
      <x:c r="Y820" s="142" t="n">
        <x:v>65000</x:v>
      </x:c>
      <x:c r="Z820" s="142" t="n">
        <x:v>66010.93</x:v>
      </x:c>
      <x:c r="AA820" s="142" t="n">
        <x:v>11835.328892279631</x:v>
      </x:c>
      <x:c r="AB820" s="142" t="n">
        <x:v>10992.286430172975</x:v>
      </x:c>
    </x:row>
    <x:row r="821">
      <x:c r="V821" s="141" t="n">
        <x:v>46111</x:v>
      </x:c>
      <x:c r="W821" s="142" t="n">
        <x:v>66010.93</x:v>
      </x:c>
      <x:c r="X821" s="142" t="n">
        <x:v>68169.65</x:v>
      </x:c>
      <x:c r="Y821" s="142" t="n">
        <x:v>65800.59</x:v>
      </x:c>
      <x:c r="Z821" s="142" t="n">
        <x:v>66797.37</x:v>
      </x:c>
      <x:c r="AA821" s="142" t="n">
        <x:v>11946.241228181372</x:v>
      </x:c>
      <x:c r="AB821" s="142" t="n">
        <x:v>10982.976849732833</x:v>
      </x:c>
    </x:row>
    <x:row r="822">
      <x:c r="V822" s="141" t="n">
        <x:v>46112</x:v>
      </x:c>
      <x:c r="W822" s="142" t="n">
        <x:v>66797.38</x:v>
      </x:c>
      <x:c r="X822" s="142" t="n">
        <x:v>68589.49</x:v>
      </x:c>
      <x:c r="Y822" s="142" t="n">
        <x:v>65998.05</x:v>
      </x:c>
      <x:c r="Z822" s="142" t="n">
        <x:v>68284.48</x:v>
      </x:c>
      <x:c r="AA822" s="142" t="n">
        <x:v>12155.969680247441</x:v>
      </x:c>
      <x:c r="AB822" s="142" t="n">
        <x:v>10982.976849732833</x:v>
      </x:c>
    </x:row>
    <x:row r="823">
      <x:c r="V823" s="141" t="n">
        <x:v>46113</x:v>
      </x:c>
      <x:c r="W823" s="142" t="n">
        <x:v>68284.49</x:v>
      </x:c>
      <x:c r="X823" s="142" t="n">
        <x:v>69310</x:v>
      </x:c>
      <x:c r="Y823" s="142" t="n">
        <x:v>67578.75</x:v>
      </x:c>
      <x:c r="Z823" s="142" t="n">
        <x:v>68113.92</x:v>
      </x:c>
      <x:c r="AA823" s="142" t="n">
        <x:v>12131.915451048264</x:v>
      </x:c>
      <x:c r="AB823" s="142" t="n">
        <x:v>10982.976849732833</x:v>
      </x:c>
    </x:row>
    <x:row r="824">
      <x:c r="V824" s="141" t="n">
        <x:v>46114</x:v>
      </x:c>
      <x:c r="W824" s="142" t="n">
        <x:v>68113.92</x:v>
      </x:c>
      <x:c r="X824" s="142" t="n">
        <x:v>68653.38</x:v>
      </x:c>
      <x:c r="Y824" s="142" t="n">
        <x:v>65712.12</x:v>
      </x:c>
      <x:c r="Z824" s="142" t="n">
        <x:v>66901.99</x:v>
      </x:c>
      <x:c r="AA824" s="142" t="n">
        <x:v>11960.995880261686</x:v>
      </x:c>
      <x:c r="AB824" s="142" t="n">
        <x:v>10982.976849732833</x:v>
      </x:c>
    </x:row>
    <x:row r="825">
      <x:c r="V825" s="141" t="n">
        <x:v>46115</x:v>
      </x:c>
      <x:c r="W825" s="142" t="n">
        <x:v>66901.99</x:v>
      </x:c>
      <x:c r="X825" s="142" t="n">
        <x:v>67370.42</x:v>
      </x:c>
      <x:c r="Y825" s="142" t="n">
        <x:v>66282</x:v>
      </x:c>
      <x:c r="Z825" s="142" t="n">
        <x:v>66964.3</x:v>
      </x:c>
      <x:c r="AA825" s="142" t="n">
        <x:v>11969.783515237064</x:v>
      </x:c>
      <x:c r="AB825" s="142" t="n">
        <x:v>10982.976849732833</x:v>
      </x:c>
    </x:row>
    <x:row r="826">
      <x:c r="V826" s="141" t="n">
        <x:v>46116</x:v>
      </x:c>
      <x:c r="W826" s="142" t="n">
        <x:v>66964.29</x:v>
      </x:c>
      <x:c r="X826" s="142" t="n">
        <x:v>67562.93</x:v>
      </x:c>
      <x:c r="Y826" s="142" t="n">
        <x:v>66775.91</x:v>
      </x:c>
      <x:c r="Z826" s="142" t="n">
        <x:v>67300.42</x:v>
      </x:c>
      <x:c r="AA826" s="142" t="n">
        <x:v>12017.186819167808</x:v>
      </x:c>
      <x:c r="AB826" s="142" t="n">
        <x:v>10982.976849732833</x:v>
      </x:c>
    </x:row>
    <x:row r="827">
      <x:c r="V827" s="141" t="n">
        <x:v>46117</x:v>
      </x:c>
      <x:c r="W827" s="142" t="n">
        <x:v>67300.42</x:v>
      </x:c>
      <x:c r="X827" s="142" t="n">
        <x:v>69136.2</x:v>
      </x:c>
      <x:c r="Y827" s="142" t="n">
        <x:v>66611.66</x:v>
      </x:c>
      <x:c r="Z827" s="142" t="n">
        <x:v>69034.18</x:v>
      </x:c>
      <x:c r="AA827" s="142" t="n">
        <x:v>12261.700541121168</x:v>
      </x:c>
      <x:c r="AB827" s="142" t="n">
        <x:v>10982.976849732833</x:v>
      </x:c>
    </x:row>
    <x:row r="828">
      <x:c r="V828" s="141" t="n">
        <x:v>46118</x:v>
      </x:c>
      <x:c r="W828" s="142" t="n">
        <x:v>69034.18</x:v>
      </x:c>
      <x:c r="X828" s="142" t="n">
        <x:v>70351.46</x:v>
      </x:c>
      <x:c r="Y828" s="142" t="n">
        <x:v>68300</x:v>
      </x:c>
      <x:c r="Z828" s="142" t="n">
        <x:v>68853.66</x:v>
      </x:c>
      <x:c r="AA828" s="142" t="n">
        <x:v>12236.24164422251</x:v>
      </x:c>
      <x:c r="AB828" s="142" t="n">
        <x:v>10982.976849732833</x:v>
      </x:c>
    </x:row>
    <x:row r="829">
      <x:c r="V829" s="141" t="n">
        <x:v>46119</x:v>
      </x:c>
      <x:c r="W829" s="142" t="n">
        <x:v>68853.66</x:v>
      </x:c>
      <x:c r="X829" s="142" t="n">
        <x:v>72761</x:v>
      </x:c>
      <x:c r="Y829" s="142" t="n">
        <x:v>67732.01</x:v>
      </x:c>
      <x:c r="Z829" s="142" t="n">
        <x:v>71924.22</x:v>
      </x:c>
      <x:c r="AA829" s="142" t="n">
        <x:v>12669.28546463659</x:v>
      </x:c>
      <x:c r="AB829" s="142" t="n">
        <x:v>10982.976849732833</x:v>
      </x:c>
    </x:row>
    <x:row r="830">
      <x:c r="V830" s="141" t="n">
        <x:v>46120</x:v>
      </x:c>
      <x:c r="W830" s="142" t="n">
        <x:v>71924.22</x:v>
      </x:c>
      <x:c r="X830" s="142" t="n">
        <x:v>72857</x:v>
      </x:c>
      <x:c r="Y830" s="142" t="n">
        <x:v>70707.23</x:v>
      </x:c>
      <x:c r="Z830" s="142" t="n">
        <x:v>71069.93</x:v>
      </x:c>
      <x:c r="AA830" s="142" t="n">
        <x:v>12548.804182609354</x:v>
      </x:c>
      <x:c r="AB830" s="142" t="n">
        <x:v>10982.976849732833</x:v>
      </x:c>
    </x:row>
    <x:row r="831">
      <x:c r="V831" s="141" t="n">
        <x:v>46121</x:v>
      </x:c>
      <x:c r="W831" s="142" t="n">
        <x:v>71069.93</x:v>
      </x:c>
      <x:c r="X831" s="142" t="n">
        <x:v>73145</x:v>
      </x:c>
      <x:c r="Y831" s="142" t="n">
        <x:v>70466</x:v>
      </x:c>
      <x:c r="Z831" s="142" t="n">
        <x:v>71787.97</x:v>
      </x:c>
      <x:c r="AA831" s="142" t="n">
        <x:v>12650.070005394165</x:v>
      </x:c>
      <x:c r="AB831" s="142" t="n">
        <x:v>10982.976849732833</x:v>
      </x:c>
    </x:row>
    <x:row r="832">
      <x:c r="V832" s="141" t="n">
        <x:v>46122</x:v>
      </x:c>
      <x:c r="W832" s="142" t="n">
        <x:v>71787.98</x:v>
      </x:c>
      <x:c r="X832" s="142" t="n">
        <x:v>73434</x:v>
      </x:c>
      <x:c r="Y832" s="142" t="n">
        <x:v>71426.15</x:v>
      </x:c>
      <x:c r="Z832" s="142" t="n">
        <x:v>72962.7</x:v>
      </x:c>
      <x:c r="AA832" s="142" t="n">
        <x:v>12815.743226941711</x:v>
      </x:c>
      <x:c r="AB832" s="142" t="n">
        <x:v>10982.976849732833</x:v>
      </x:c>
    </x:row>
    <x:row r="833">
      <x:c r="V833" s="141" t="n">
        <x:v>46123</x:v>
      </x:c>
      <x:c r="W833" s="142" t="n">
        <x:v>72962.71</x:v>
      </x:c>
      <x:c r="X833" s="142" t="n">
        <x:v>73790</x:v>
      </x:c>
      <x:c r="Y833" s="142" t="n">
        <x:v>72513.09</x:v>
      </x:c>
      <x:c r="Z833" s="142" t="n">
        <x:v>73043.16</x:v>
      </x:c>
      <x:c r="AA833" s="142" t="n">
        <x:v>12827.090572634523</x:v>
      </x:c>
      <x:c r="AB833" s="142" t="n">
        <x:v>10982.976849732833</x:v>
      </x:c>
    </x:row>
    <x:row r="834">
      <x:c r="V834" s="141" t="n">
        <x:v>46124</x:v>
      </x:c>
      <x:c r="W834" s="142" t="n">
        <x:v>73043.16</x:v>
      </x:c>
      <x:c r="X834" s="142" t="n">
        <x:v>73137.24</x:v>
      </x:c>
      <x:c r="Y834" s="142" t="n">
        <x:v>70505.88</x:v>
      </x:c>
      <x:c r="Z834" s="142" t="n">
        <x:v>70740.98</x:v>
      </x:c>
      <x:c r="AA834" s="142" t="n">
        <x:v>12502.412070185168</x:v>
      </x:c>
      <x:c r="AB834" s="142" t="n">
        <x:v>10982.976849732833</x:v>
      </x:c>
    </x:row>
    <x:row r="835">
      <x:c r="V835" s="141" t="n">
        <x:v>46125</x:v>
      </x:c>
      <x:c r="W835" s="142" t="n">
        <x:v>70741.56</x:v>
      </x:c>
      <x:c r="X835" s="142" t="n">
        <x:v>74900</x:v>
      </x:c>
      <x:c r="Y835" s="142" t="n">
        <x:v>70566.99</x:v>
      </x:c>
      <x:c r="Z835" s="142" t="n">
        <x:v>74417.99</x:v>
      </x:c>
      <x:c r="AA835" s="142" t="n">
        <x:v>13020.984075975897</x:v>
      </x:c>
      <x:c r="AB835" s="142" t="n">
        <x:v>10982.976849732833</x:v>
      </x:c>
    </x:row>
    <x:row r="836">
      <x:c r="V836" s="141" t="n">
        <x:v>46126</x:v>
      </x:c>
      <x:c r="W836" s="142" t="n">
        <x:v>74418</x:v>
      </x:c>
      <x:c r="X836" s="142" t="n">
        <x:v>76038</x:v>
      </x:c>
      <x:c r="Y836" s="142" t="n">
        <x:v>73795.47</x:v>
      </x:c>
      <x:c r="Z836" s="142" t="n">
        <x:v>74131.55</x:v>
      </x:c>
      <x:c r="AA836" s="142" t="n">
        <x:v>12980.587186835348</x:v>
      </x:c>
      <x:c r="AB836" s="142" t="n">
        <x:v>10982.976849732833</x:v>
      </x:c>
    </x:row>
    <x:row r="837">
      <x:c r="V837" s="141" t="n">
        <x:v>46127</x:v>
      </x:c>
      <x:c r="W837" s="142" t="n">
        <x:v>74131.55</x:v>
      </x:c>
      <x:c r="X837" s="142" t="n">
        <x:v>75425</x:v>
      </x:c>
      <x:c r="Y837" s="142" t="n">
        <x:v>73514</x:v>
      </x:c>
      <x:c r="Z837" s="142" t="n">
        <x:v>74809.99</x:v>
      </x:c>
      <x:c r="AA837" s="142" t="n">
        <x:v>13076.268186236672</x:v>
      </x:c>
      <x:c r="AB837" s="142" t="n">
        <x:v>10982.976849732833</x:v>
      </x:c>
    </x:row>
    <x:row r="838">
      <x:c r="V838" s="141" t="n">
        <x:v>46128</x:v>
      </x:c>
      <x:c r="W838" s="142" t="n">
        <x:v>74809.99</x:v>
      </x:c>
      <x:c r="X838" s="142" t="n">
        <x:v>75534.76</x:v>
      </x:c>
      <x:c r="Y838" s="142" t="n">
        <x:v>73309.85</x:v>
      </x:c>
      <x:c r="Z838" s="142" t="n">
        <x:v>75154.29</x:v>
      </x:c>
      <x:c r="AA838" s="142" t="n">
        <x:v>13124.825122876426</x:v>
      </x:c>
      <x:c r="AB838" s="142" t="n">
        <x:v>10982.976849732833</x:v>
      </x:c>
    </x:row>
    <x:row r="839">
      <x:c r="V839" s="141" t="n">
        <x:v>46129</x:v>
      </x:c>
      <x:c r="W839" s="142" t="n">
        <x:v>75154.28</x:v>
      </x:c>
      <x:c r="X839" s="142" t="n">
        <x:v>78333</x:v>
      </x:c>
      <x:c r="Y839" s="142" t="n">
        <x:v>74529.4</x:v>
      </x:c>
      <x:c r="Z839" s="142" t="n">
        <x:v>77072</x:v>
      </x:c>
      <x:c r="AA839" s="142" t="n">
        <x:v>13395.28147769323</x:v>
      </x:c>
      <x:c r="AB839" s="142" t="n">
        <x:v>10982.976849732833</x:v>
      </x:c>
    </x:row>
    <x:row r="840">
      <x:c r="V840" s="141" t="n">
        <x:v>46130</x:v>
      </x:c>
      <x:c r="W840" s="142" t="n">
        <x:v>77072.01</x:v>
      </x:c>
      <x:c r="X840" s="142" t="n">
        <x:v>77420.08</x:v>
      </x:c>
      <x:c r="Y840" s="142" t="n">
        <x:v>75445.16</x:v>
      </x:c>
      <x:c r="Z840" s="142" t="n">
        <x:v>75691.76</x:v>
      </x:c>
      <x:c r="AA840" s="142" t="n">
        <x:v>13200.6249972179</x:v>
      </x:c>
      <x:c r="AB840" s="142" t="n">
        <x:v>10982.976849732833</x:v>
      </x:c>
    </x:row>
    <x:row r="841">
      <x:c r="V841" s="141" t="n">
        <x:v>46131</x:v>
      </x:c>
      <x:c r="W841" s="142" t="n">
        <x:v>75691.76</x:v>
      </x:c>
      <x:c r="X841" s="142" t="n">
        <x:v>76240.66</x:v>
      </x:c>
      <x:c r="Y841" s="142" t="n">
        <x:v>73762.9</x:v>
      </x:c>
      <x:c r="Z841" s="142" t="n">
        <x:v>73801.79</x:v>
      </x:c>
      <x:c r="AA841" s="142" t="n">
        <x:v>12934.080839387405</x:v>
      </x:c>
      <x:c r="AB841" s="142" t="n">
        <x:v>10982.976849732833</x:v>
      </x:c>
    </x:row>
    <x:row r="842">
      <x:c r="V842" s="141" t="n">
        <x:v>46132</x:v>
      </x:c>
      <x:c r="W842" s="142" t="n">
        <x:v>73801.8</x:v>
      </x:c>
      <x:c r="X842" s="142" t="n">
        <x:v>76558.62</x:v>
      </x:c>
      <x:c r="Y842" s="142" t="n">
        <x:v>73724.31</x:v>
      </x:c>
      <x:c r="Z842" s="142" t="n">
        <x:v>75840.97</x:v>
      </x:c>
      <x:c r="AA842" s="142" t="n">
        <x:v>13221.668216840375</x:v>
      </x:c>
      <x:c r="AB842" s="142" t="n">
        <x:v>10982.976849732833</x:v>
      </x:c>
    </x:row>
    <x:row r="843">
      <x:c r="V843" s="141" t="n">
        <x:v>46133</x:v>
      </x:c>
      <x:c r="W843" s="142" t="n">
        <x:v>75840.97</x:v>
      </x:c>
      <x:c r="X843" s="142" t="n">
        <x:v>76927.57</x:v>
      </x:c>
      <x:c r="Y843" s="142" t="n">
        <x:v>74821.57</x:v>
      </x:c>
      <x:c r="Z843" s="142" t="n">
        <x:v>76336.15</x:v>
      </x:c>
      <x:c r="AA843" s="142" t="n">
        <x:v>13291.503894694786</x:v>
      </x:c>
      <x:c r="AB843" s="142" t="n">
        <x:v>10982.976849732833</x:v>
      </x:c>
    </x:row>
    <x:row r="844">
      <x:c r="V844" s="141" t="n">
        <x:v>46134</x:v>
      </x:c>
      <x:c r="W844" s="142" t="n">
        <x:v>76336.14</x:v>
      </x:c>
      <x:c r="X844" s="142" t="n">
        <x:v>79472.82</x:v>
      </x:c>
      <x:c r="Y844" s="142" t="n">
        <x:v>76132.95</x:v>
      </x:c>
      <x:c r="Z844" s="142" t="n">
        <x:v>78178.23</x:v>
      </x:c>
      <x:c r="AA844" s="142" t="n">
        <x:v>13551.294083034492</x:v>
      </x:c>
      <x:c r="AB844" s="142" t="n">
        <x:v>10982.976849732833</x:v>
      </x:c>
    </x:row>
    <x:row r="845">
      <x:c r="V845" s="141" t="n">
        <x:v>46135</x:v>
      </x:c>
      <x:c r="W845" s="142" t="n">
        <x:v>78178.22</x:v>
      </x:c>
      <x:c r="X845" s="142" t="n">
        <x:v>78662.5</x:v>
      </x:c>
      <x:c r="Y845" s="142" t="n">
        <x:v>76960</x:v>
      </x:c>
      <x:c r="Z845" s="142" t="n">
        <x:v>78257.48</x:v>
      </x:c>
      <x:c r="AA845" s="142" t="n">
        <x:v>13562.470781346141</x:v>
      </x:c>
      <x:c r="AB845" s="142" t="n">
        <x:v>10982.976849732833</x:v>
      </x:c>
    </x:row>
    <x:row r="846">
      <x:c r="V846" s="141" t="n">
        <x:v>46136</x:v>
      </x:c>
      <x:c r="W846" s="142" t="n">
        <x:v>78257.48</x:v>
      </x:c>
      <x:c r="X846" s="142" t="n">
        <x:v>78581.93</x:v>
      </x:c>
      <x:c r="Y846" s="142" t="n">
        <x:v>77264.08</x:v>
      </x:c>
      <x:c r="Z846" s="142" t="n">
        <x:v>77437.13</x:v>
      </x:c>
      <x:c r="AA846" s="142" t="n">
        <x:v>13446.776087845057</x:v>
      </x:c>
      <x:c r="AB846" s="142" t="n">
        <x:v>10982.976849732833</x:v>
      </x:c>
    </x:row>
    <x:row r="847">
      <x:c r="V847" s="141" t="n">
        <x:v>46137</x:v>
      </x:c>
      <x:c r="W847" s="142" t="n">
        <x:v>77437.13</x:v>
      </x:c>
      <x:c r="X847" s="142" t="n">
        <x:v>77885.35</x:v>
      </x:c>
      <x:c r="Y847" s="142" t="n">
        <x:v>77140.23</x:v>
      </x:c>
      <x:c r="Z847" s="142" t="n">
        <x:v>77625</x:v>
      </x:c>
      <x:c r="AA847" s="142" t="n">
        <x:v>13473.271561811107</x:v>
      </x:c>
      <x:c r="AB847" s="142" t="n">
        <x:v>10982.976849732833</x:v>
      </x:c>
    </x:row>
    <x:row r="848">
      <x:c r="V848" s="141" t="n">
        <x:v>46138</x:v>
      </x:c>
      <x:c r="W848" s="142" t="n">
        <x:v>77625</x:v>
      </x:c>
      <x:c r="X848" s="142" t="n">
        <x:v>78961</x:v>
      </x:c>
      <x:c r="Y848" s="142" t="n">
        <x:v>77326.51</x:v>
      </x:c>
      <x:c r="Z848" s="142" t="n">
        <x:v>78657.55</x:v>
      </x:c>
      <x:c r="AA848" s="142" t="n">
        <x:v>13618.893010917642</x:v>
      </x:c>
      <x:c r="AB848" s="142" t="n">
        <x:v>10982.976849732833</x:v>
      </x:c>
    </x:row>
    <x:row r="849">
      <x:c r="V849" s="141" t="n">
        <x:v>46139</x:v>
      </x:c>
      <x:c r="W849" s="142" t="n">
        <x:v>78657.55</x:v>
      </x:c>
      <x:c r="X849" s="142" t="n">
        <x:v>79485.66</x:v>
      </x:c>
      <x:c r="Y849" s="142" t="n">
        <x:v>76459.64</x:v>
      </x:c>
      <x:c r="Z849" s="142" t="n">
        <x:v>77371.32</x:v>
      </x:c>
      <x:c r="AA849" s="142" t="n">
        <x:v>13437.49484474235</x:v>
      </x:c>
      <x:c r="AB849" s="142" t="n">
        <x:v>10982.976849732833</x:v>
      </x:c>
    </x:row>
    <x:row r="850">
      <x:c r="V850" s="141" t="n">
        <x:v>46140</x:v>
      </x:c>
      <x:c r="W850" s="142" t="n">
        <x:v>77371.32</x:v>
      </x:c>
      <x:c r="X850" s="142" t="n">
        <x:v>77478</x:v>
      </x:c>
      <x:c r="Y850" s="142" t="n">
        <x:v>75666.6</x:v>
      </x:c>
      <x:c r="Z850" s="142" t="n">
        <x:v>76342.77</x:v>
      </x:c>
      <x:c r="AA850" s="142" t="n">
        <x:v>13292.437519209905</x:v>
      </x:c>
      <x:c r="AB850" s="142" t="n">
        <x:v>10982.976849732833</x:v>
      </x:c>
    </x:row>
    <x:row r="851">
      <x:c r="V851" s="141" t="n">
        <x:v>46141</x:v>
      </x:c>
      <x:c r="W851" s="142" t="n">
        <x:v>76342.78</x:v>
      </x:c>
      <x:c r="X851" s="142" t="n">
        <x:v>77904.93</x:v>
      </x:c>
      <x:c r="Y851" s="142" t="n">
        <x:v>74937.52</x:v>
      </x:c>
      <x:c r="Z851" s="142" t="n">
        <x:v>75780</x:v>
      </x:c>
      <x:c r="AA851" s="142" t="n">
        <x:v>13213.069563262316</x:v>
      </x:c>
      <x:c r="AB851" s="142" t="n">
        <x:v>10982.976849732833</x:v>
      </x:c>
    </x:row>
    <x:row r="852">
      <x:c r="V852" s="141" t="n">
        <x:v>46142</x:v>
      </x:c>
      <x:c r="W852" s="142" t="n">
        <x:v>75780</x:v>
      </x:c>
      <x:c r="X852" s="142" t="n">
        <x:v>76669.14</x:v>
      </x:c>
      <x:c r="Y852" s="142" t="n">
        <x:v>75323.65</x:v>
      </x:c>
      <x:c r="Z852" s="142" t="n">
        <x:v>76346.57</x:v>
      </x:c>
      <x:c r="AA852" s="142" t="n">
        <x:v>13292.97343660529</x:v>
      </x:c>
      <x:c r="AB852" s="142" t="n">
        <x:v>10982.976849732833</x:v>
      </x:c>
    </x:row>
    <x:row r="853">
      <x:c r="V853" s="141" t="n">
        <x:v>46143</x:v>
      </x:c>
      <x:c r="W853" s="142" t="n">
        <x:v>76346.58</x:v>
      </x:c>
      <x:c r="X853" s="142" t="n">
        <x:v>78914.12</x:v>
      </x:c>
      <x:c r="Y853" s="142" t="n">
        <x:v>76320.42</x:v>
      </x:c>
      <x:c r="Z853" s="142" t="n">
        <x:v>78231.13</x:v>
      </x:c>
      <x:c r="AA853" s="142" t="n">
        <x:v>13558.754617301827</x:v>
      </x:c>
      <x:c r="AB853" s="142" t="n">
        <x:v>10982.976849732833</x:v>
      </x:c>
    </x:row>
    <x:row r="854">
      <x:c r="V854" s="141" t="n">
        <x:v>46144</x:v>
      </x:c>
      <x:c r="W854" s="142" t="n">
        <x:v>78231.13</x:v>
      </x:c>
      <x:c r="X854" s="142" t="n">
        <x:v>79199.48</x:v>
      </x:c>
      <x:c r="Y854" s="142" t="n">
        <x:v>78040</x:v>
      </x:c>
      <x:c r="Z854" s="142" t="n">
        <x:v>78686.85</x:v>
      </x:c>
      <x:c r="AA854" s="142" t="n">
        <x:v>13623.025216097847</x:v>
      </x:c>
      <x:c r="AB854" s="142" t="n">
        <x:v>10982.976849732833</x:v>
      </x:c>
    </x:row>
    <x:row r="855">
      <x:c r="V855" s="141" t="n">
        <x:v>46145</x:v>
      </x:c>
      <x:c r="W855" s="142" t="n">
        <x:v>78686.84</x:v>
      </x:c>
      <x:c r="X855" s="142" t="n">
        <x:v>79447</x:v>
      </x:c>
      <x:c r="Y855" s="142" t="n">
        <x:v>78084.08</x:v>
      </x:c>
      <x:c r="Z855" s="142" t="n">
        <x:v>78568.57</x:v>
      </x:c>
      <x:c r="AA855" s="142" t="n">
        <x:v>13606.344082012021</x:v>
      </x:c>
      <x:c r="AB855" s="142" t="n">
        <x:v>10982.976849732833</x:v>
      </x:c>
    </x:row>
    <x:row r="856">
      <x:c r="V856" s="141" t="n">
        <x:v>46146</x:v>
      </x:c>
      <x:c r="W856" s="142" t="n">
        <x:v>78568.58</x:v>
      </x:c>
      <x:c r="X856" s="142" t="n">
        <x:v>80776.99</x:v>
      </x:c>
      <x:c r="Y856" s="142" t="n">
        <x:v>78202</x:v>
      </x:c>
      <x:c r="Z856" s="142" t="n">
        <x:v>79861.01</x:v>
      </x:c>
      <x:c r="AA856" s="142" t="n">
        <x:v>13788.618050036084</x:v>
      </x:c>
      <x:c r="AB856" s="142" t="n">
        <x:v>10982.976849732833</x:v>
      </x:c>
    </x:row>
    <x:row r="857">
      <x:c r="V857" s="141" t="n">
        <x:v>46147</x:v>
      </x:c>
      <x:c r="W857" s="142" t="n">
        <x:v>79861.01</x:v>
      </x:c>
      <x:c r="X857" s="142" t="n">
        <x:v>81791.48</x:v>
      </x:c>
      <x:c r="Y857" s="142" t="n">
        <x:v>79808.72</x:v>
      </x:c>
      <x:c r="Z857" s="142" t="n">
        <x:v>80905.52</x:v>
      </x:c>
      <x:c r="AA857" s="142" t="n">
        <x:v>13935.926228629147</x:v>
      </x:c>
      <x:c r="AB857" s="142" t="n">
        <x:v>10982.976849732833</x:v>
      </x:c>
    </x:row>
    <x:row r="858">
      <x:c r="V858" s="141" t="n">
        <x:v>46148</x:v>
      </x:c>
      <x:c r="W858" s="142" t="n">
        <x:v>80905.53</x:v>
      </x:c>
      <x:c r="X858" s="142" t="n">
        <x:v>82850</x:v>
      </x:c>
      <x:c r="Y858" s="142" t="n">
        <x:v>80731.14</x:v>
      </x:c>
      <x:c r="Z858" s="142" t="n">
        <x:v>81447.01</x:v>
      </x:c>
      <x:c r="AA858" s="142" t="n">
        <x:v>14012.29304716258</x:v>
      </x:c>
      <x:c r="AB858" s="142" t="n">
        <x:v>10982.976849732833</x:v>
      </x:c>
    </x:row>
    <x:row r="859">
      <x:c r="V859" s="141" t="n">
        <x:v>46149</x:v>
      </x:c>
      <x:c r="W859" s="142" t="n">
        <x:v>81447.01</x:v>
      </x:c>
      <x:c r="X859" s="142" t="n">
        <x:v>81708.32</x:v>
      </x:c>
      <x:c r="Y859" s="142" t="n">
        <x:v>79500</x:v>
      </x:c>
      <x:c r="Z859" s="142" t="n">
        <x:v>80006</x:v>
      </x:c>
      <x:c r="AA859" s="142" t="n">
        <x:v>13809.066119287894</x:v>
      </x:c>
      <x:c r="AB859" s="142" t="n">
        <x:v>10982.976849732833</x:v>
      </x:c>
    </x:row>
    <x:row r="860">
      <x:c r="V860" s="141" t="n">
        <x:v>46150</x:v>
      </x:c>
      <x:c r="W860" s="142" t="n">
        <x:v>80006</x:v>
      </x:c>
      <x:c r="X860" s="142" t="n">
        <x:v>80500</x:v>
      </x:c>
      <x:c r="Y860" s="142" t="n">
        <x:v>79181.48</x:v>
      </x:c>
      <x:c r="Z860" s="142" t="n">
        <x:v>80193.17</x:v>
      </x:c>
      <x:c r="AA860" s="142" t="n">
        <x:v>13835.462871628479</x:v>
      </x:c>
      <x:c r="AB860" s="142" t="n">
        <x:v>10982.976849732833</x:v>
      </x:c>
    </x:row>
    <x:row r="861">
      <x:c r="V861" s="141" t="n">
        <x:v>46151</x:v>
      </x:c>
      <x:c r="W861" s="142" t="n">
        <x:v>80193.18</x:v>
      </x:c>
      <x:c r="X861" s="142" t="n">
        <x:v>81080</x:v>
      </x:c>
      <x:c r="Y861" s="142" t="n">
        <x:v>80129.85</x:v>
      </x:c>
      <x:c r="Z861" s="142" t="n">
        <x:v>80678.4</x:v>
      </x:c>
      <x:c r="AA861" s="142" t="n">
        <x:v>13903.895292092344</x:v>
      </x:c>
      <x:c r="AB861" s="142" t="n">
        <x:v>10982.976849732833</x:v>
      </x:c>
    </x:row>
    <x:row r="862">
      <x:c r="V862" s="141" t="n">
        <x:v>46152</x:v>
      </x:c>
      <x:c r="W862" s="142" t="n">
        <x:v>80678.41</x:v>
      </x:c>
      <x:c r="X862" s="142" t="n">
        <x:v>82479.32</x:v>
      </x:c>
      <x:c r="Y862" s="142" t="n">
        <x:v>80279.77</x:v>
      </x:c>
      <x:c r="Z862" s="142" t="n">
        <x:v>82210.07</x:v>
      </x:c>
      <x:c r="AA862" s="142" t="n">
        <x:v>14119.90808077377</x:v>
      </x:c>
      <x:c r="AB862" s="142" t="n">
        <x:v>10982.976849732833</x:v>
      </x:c>
    </x:row>
    <x:row r="863">
      <x:c r="V863" s="141" t="n">
        <x:v>46153</x:v>
      </x:c>
      <x:c r="W863" s="142" t="n">
        <x:v>82210.07</x:v>
      </x:c>
      <x:c r="X863" s="142" t="n">
        <x:v>82380</x:v>
      </x:c>
      <x:c r="Y863" s="142" t="n">
        <x:v>80462.97</x:v>
      </x:c>
      <x:c r="Z863" s="142" t="n">
        <x:v>81745.65</x:v>
      </x:c>
      <x:c r="AA863" s="142" t="n">
        <x:v>14054.410513204104</x:v>
      </x:c>
      <x:c r="AB863" s="142" t="n">
        <x:v>10982.976849732833</x:v>
      </x:c>
    </x:row>
    <x:row r="864">
      <x:c r="V864" s="141" t="n">
        <x:v>46154</x:v>
      </x:c>
      <x:c r="W864" s="142" t="n">
        <x:v>81745.66</x:v>
      </x:c>
      <x:c r="X864" s="142" t="n">
        <x:v>81788</x:v>
      </x:c>
      <x:c r="Y864" s="142" t="n">
        <x:v>79843.59</x:v>
      </x:c>
      <x:c r="Z864" s="142" t="n">
        <x:v>80504.47</x:v>
      </x:c>
      <x:c r="AA864" s="142" t="n">
        <x:v>13879.365788781995</x:v>
      </x:c>
      <x:c r="AB864" s="142" t="n">
        <x:v>10982.976849732833</x:v>
      </x:c>
    </x:row>
    <x:row r="865">
      <x:c r="V865" s="141" t="n">
        <x:v>46155</x:v>
      </x:c>
      <x:c r="W865" s="142" t="n">
        <x:v>80504.47</x:v>
      </x:c>
      <x:c r="X865" s="142" t="n">
        <x:v>81324.64</x:v>
      </x:c>
      <x:c r="Y865" s="142" t="n">
        <x:v>78754.65</x:v>
      </x:c>
      <x:c r="Z865" s="142" t="n">
        <x:v>79313.61</x:v>
      </x:c>
      <x:c r="AA865" s="142" t="n">
        <x:v>13711.417738921933</x:v>
      </x:c>
      <x:c r="AB865" s="142" t="n">
        <x:v>10982.976849732833</x:v>
      </x:c>
    </x:row>
    <x:row r="866">
      <x:c r="V866" s="141" t="n">
        <x:v>46156</x:v>
      </x:c>
      <x:c r="W866" s="142" t="n">
        <x:v>79313.61</x:v>
      </x:c>
      <x:c r="X866" s="142" t="n">
        <x:v>82048.13</x:v>
      </x:c>
      <x:c r="Y866" s="142" t="n">
        <x:v>78922</x:v>
      </x:c>
      <x:c r="Z866" s="142" t="n">
        <x:v>81089.99</x:v>
      </x:c>
      <x:c r="AA866" s="142" t="n">
        <x:v>13961.94219755722</x:v>
      </x:c>
      <x:c r="AB866" s="142" t="n">
        <x:v>10982.976849732833</x:v>
      </x:c>
    </x:row>
    <x:row r="867">
      <x:c r="V867" s="141" t="n">
        <x:v>46157</x:v>
      </x:c>
      <x:c r="W867" s="142" t="n">
        <x:v>81090</x:v>
      </x:c>
      <x:c r="X867" s="142" t="n">
        <x:v>81664.45</x:v>
      </x:c>
      <x:c r="Y867" s="142" t="n">
        <x:v>78659</x:v>
      </x:c>
      <x:c r="Z867" s="142" t="n">
        <x:v>79113.21</x:v>
      </x:c>
      <x:c r="AA867" s="142" t="n">
        <x:v>13683.15514786005</x:v>
      </x:c>
      <x:c r="AB867" s="142" t="n">
        <x:v>10982.976849732833</x:v>
      </x:c>
    </x:row>
    <x:row r="868">
      <x:c r="V868" s="141" t="n">
        <x:v>46158</x:v>
      </x:c>
      <x:c r="W868" s="142" t="n">
        <x:v>79113.2</x:v>
      </x:c>
      <x:c r="X868" s="142" t="n">
        <x:v>79227.77</x:v>
      </x:c>
      <x:c r="Y868" s="142" t="n">
        <x:v>77640</x:v>
      </x:c>
      <x:c r="Z868" s="142" t="n">
        <x:v>78148.05</x:v>
      </x:c>
      <x:c r="AA868" s="142" t="n">
        <x:v>13547.037770667988</x:v>
      </x:c>
      <x:c r="AB868" s="142" t="n">
        <x:v>10982.976849732833</x:v>
      </x:c>
    </x:row>
    <x:row r="869">
      <x:c r="V869" s="141" t="n">
        <x:v>46159</x:v>
      </x:c>
      <x:c r="W869" s="142" t="n">
        <x:v>78148.05</x:v>
      </x:c>
      <x:c r="X869" s="142" t="n">
        <x:v>78599.99</x:v>
      </x:c>
      <x:c r="Y869" s="142" t="n">
        <x:v>76735.16</x:v>
      </x:c>
      <x:c r="Z869" s="142" t="n">
        <x:v>77457.67</x:v>
      </x:c>
      <x:c r="AA869" s="142" t="n">
        <x:v>13449.672862398007</x:v>
      </x:c>
      <x:c r="AB869" s="142" t="n">
        <x:v>10982.976849732833</x:v>
      </x:c>
    </x:row>
    <x:row r="870">
      <x:c r="V870" s="141" t="n">
        <x:v>46160</x:v>
      </x:c>
      <x:c r="W870" s="142" t="n">
        <x:v>77457.67</x:v>
      </x:c>
      <x:c r="X870" s="142" t="n">
        <x:v>77800</x:v>
      </x:c>
      <x:c r="Y870" s="142" t="n">
        <x:v>76051</x:v>
      </x:c>
      <x:c r="Z870" s="142" t="n">
        <x:v>77001.87</x:v>
      </x:c>
      <x:c r="AA870" s="142" t="n">
        <x:v>13385.390981130506</x:v>
      </x:c>
      <x:c r="AB870" s="142" t="n">
        <x:v>10982.976849732833</x:v>
      </x:c>
    </x:row>
    <x:row r="871">
      <x:c r="V871" s="141" t="n">
        <x:v>46161</x:v>
      </x:c>
      <x:c r="W871" s="142" t="n">
        <x:v>77001.88</x:v>
      </x:c>
      <x:c r="X871" s="142" t="n">
        <x:v>77414.62</x:v>
      </x:c>
      <x:c r="Y871" s="142" t="n">
        <x:v>76144.71</x:v>
      </x:c>
      <x:c r="Z871" s="142" t="n">
        <x:v>76834.36</x:v>
      </x:c>
      <x:c r="AA871" s="142" t="n">
        <x:v>13361.766896156572</x:v>
      </x:c>
      <x:c r="AB871" s="142" t="n">
        <x:v>10982.976849732833</x:v>
      </x:c>
    </x:row>
    <x:row r="872">
      <x:c r="V872" s="141" t="n">
        <x:v>46162</x:v>
      </x:c>
      <x:c r="W872" s="142" t="n">
        <x:v>76834.36</x:v>
      </x:c>
      <x:c r="X872" s="142" t="n">
        <x:v>77853.04</x:v>
      </x:c>
      <x:c r="Y872" s="142" t="n">
        <x:v>76516.74</x:v>
      </x:c>
      <x:c r="Z872" s="142" t="n">
        <x:v>77552.23</x:v>
      </x:c>
      <x:c r="AA872" s="142" t="n">
        <x:v>13463.008743689483</x:v>
      </x:c>
      <x:c r="AB872" s="142" t="n">
        <x:v>10982.976849732833</x:v>
      </x:c>
    </x:row>
    <x:row r="873">
      <x:c r="V873" s="141" t="n">
        <x:v>46163</x:v>
      </x:c>
      <x:c r="W873" s="142" t="n">
        <x:v>77552.24</x:v>
      </x:c>
      <x:c r="X873" s="142" t="n">
        <x:v>78200</x:v>
      </x:c>
      <x:c r="Y873" s="142" t="n">
        <x:v>76719.47</x:v>
      </x:c>
      <x:c r="Z873" s="142" t="n">
        <x:v>77615.52</x:v>
      </x:c>
      <x:c r="AA873" s="142" t="n">
        <x:v>13471.934588940516</x:v>
      </x:c>
      <x:c r="AB873" s="142" t="n">
        <x:v>10982.976849732833</x:v>
      </x:c>
    </x:row>
    <x:row r="874">
      <x:c r="V874" s="141" t="n">
        <x:v>46164</x:v>
      </x:c>
      <x:c r="W874" s="142" t="n">
        <x:v>77615.52</x:v>
      </x:c>
      <x:c r="X874" s="142" t="n">
        <x:v>77900</x:v>
      </x:c>
      <x:c r="Y874" s="142" t="n">
        <x:v>75359.18</x:v>
      </x:c>
      <x:c r="Z874" s="142" t="n">
        <x:v>75539.5</x:v>
      </x:c>
      <x:c r="AA874" s="142" t="n">
        <x:v>13179.151633370182</x:v>
      </x:c>
      <x:c r="AB874" s="142" t="n">
        <x:v>10982.976849732833</x:v>
      </x:c>
    </x:row>
    <x:row r="875">
      <x:c r="V875" s="141" t="n">
        <x:v>46165</x:v>
      </x:c>
      <x:c r="W875" s="142" t="n">
        <x:v>75539.5</x:v>
      </x:c>
      <x:c r="X875" s="142" t="n">
        <x:v>77404.18</x:v>
      </x:c>
      <x:c r="Y875" s="142" t="n">
        <x:v>74289.6</x:v>
      </x:c>
      <x:c r="Z875" s="142" t="n">
        <x:v>76752.01</x:v>
      </x:c>
      <x:c r="AA875" s="142" t="n">
        <x:v>13168.498230188949</x:v>
      </x:c>
      <x:c r="AB875" s="142" t="n">
        <x:v>10982.976849732833</x:v>
      </x:c>
    </x:row>
    <x:row r="876">
      <x:c r="V876" s="141" t="n">
        <x:v>46166</x:v>
      </x:c>
      <x:c r="W876" s="142" t="n">
        <x:v>76752</x:v>
      </x:c>
      <x:c r="X876" s="142" t="n">
        <x:v>77543.15</x:v>
      </x:c>
      <x:c r="Y876" s="142" t="n">
        <x:v>76108</x:v>
      </x:c>
      <x:c r="Z876" s="142" t="n">
        <x:v>77064.96</x:v>
      </x:c>
      <x:c r="AA876" s="142" t="n">
        <x:v>13168.498230188949</x:v>
      </x:c>
      <x:c r="AB876" s="142" t="n">
        <x:v>10982.976849732833</x:v>
      </x:c>
    </x:row>
    <x:row r="877">
      <x:c r="V877" s="141" t="n">
        <x:v>46167</x:v>
      </x:c>
      <x:c r="W877" s="142" t="n">
        <x:v>77064.96</x:v>
      </x:c>
      <x:c r="X877" s="142" t="n">
        <x:v>77905.52</x:v>
      </x:c>
      <x:c r="Y877" s="142" t="n">
        <x:v>76914.25</x:v>
      </x:c>
      <x:c r="Z877" s="142" t="n">
        <x:v>77322.01</x:v>
      </x:c>
      <x:c r="AA877" s="142" t="n">
        <x:v>13168.498230188949</x:v>
      </x:c>
      <x:c r="AB877" s="142" t="n">
        <x:v>10982.976849732833</x:v>
      </x:c>
    </x:row>
    <x:row r="878">
      <x:c r="V878" s="141" t="n">
        <x:v>46168</x:v>
      </x:c>
      <x:c r="W878" s="142" t="n">
        <x:v>77322.01</x:v>
      </x:c>
      <x:c r="X878" s="142" t="n">
        <x:v>78080</x:v>
      </x:c>
      <x:c r="Y878" s="142" t="n">
        <x:v>75677.97</x:v>
      </x:c>
      <x:c r="Z878" s="142" t="n">
        <x:v>75930.01</x:v>
      </x:c>
      <x:c r="AA878" s="142" t="n">
        <x:v>13168.498230188949</x:v>
      </x:c>
      <x:c r="AB878" s="142" t="n">
        <x:v>10982.976849732833</x:v>
      </x:c>
    </x:row>
    <x:row r="879">
      <x:c r="V879" s="141" t="n">
        <x:v>46169</x:v>
      </x:c>
      <x:c r="W879" s="142" t="n">
        <x:v>75930.01</x:v>
      </x:c>
      <x:c r="X879" s="142" t="n">
        <x:v>76174.15</x:v>
      </x:c>
      <x:c r="Y879" s="142" t="n">
        <x:v>74243.99</x:v>
      </x:c>
      <x:c r="Z879" s="142" t="n">
        <x:v>74449.3</x:v>
      </x:c>
      <x:c r="AA879" s="142" t="n">
        <x:v>13168.498230188949</x:v>
      </x:c>
      <x:c r="AB879" s="142" t="n">
        <x:v>10982.976849732833</x:v>
      </x:c>
    </x:row>
    <x:row r="880">
      <x:c r="V880" s="141" t="n">
        <x:v>46170</x:v>
      </x:c>
      <x:c r="W880" s="142" t="n">
        <x:v>74449.31</x:v>
      </x:c>
      <x:c r="X880" s="142" t="n">
        <x:v>74590.77</x:v>
      </x:c>
      <x:c r="Y880" s="142" t="n">
        <x:v>72582.82</x:v>
      </x:c>
      <x:c r="Z880" s="142" t="n">
        <x:v>73617.51</x:v>
      </x:c>
      <x:c r="AA880" s="142" t="n">
        <x:v>13168.498230188949</x:v>
      </x:c>
      <x:c r="AB880" s="142" t="n">
        <x:v>10982.976849732833</x:v>
      </x:c>
    </x:row>
    <x:row r="881">
      <x:c r="V881" s="141" t="n">
        <x:v>46171</x:v>
      </x:c>
      <x:c r="W881" s="142" t="n">
        <x:v>73617.52</x:v>
      </x:c>
      <x:c r="X881" s="142" t="n">
        <x:v>74514.1</x:v>
      </x:c>
      <x:c r="Y881" s="142" t="n">
        <x:v>72512.49</x:v>
      </x:c>
      <x:c r="Z881" s="142" t="n">
        <x:v>73460.78</x:v>
      </x:c>
      <x:c r="AA881" s="142" t="n">
        <x:v>13168.498230188949</x:v>
      </x:c>
      <x:c r="AB881" s="142" t="n">
        <x:v>10982.976849732833</x:v>
      </x:c>
    </x:row>
    <x:row r="882">
      <x:c r="V882" s="141" t="n">
        <x:v>46172</x:v>
      </x:c>
      <x:c r="W882" s="142" t="n">
        <x:v>73460.78</x:v>
      </x:c>
      <x:c r="X882" s="142" t="n">
        <x:v>74143.76</x:v>
      </x:c>
      <x:c r="Y882" s="142" t="n">
        <x:v>73216</x:v>
      </x:c>
      <x:c r="Z882" s="142" t="n">
        <x:v>73884.38</x:v>
      </x:c>
      <x:c r="AA882" s="142" t="n">
        <x:v>13168.498230188949</x:v>
      </x:c>
      <x:c r="AB882" s="142" t="n">
        <x:v>10982.976849732833</x:v>
      </x:c>
    </x:row>
    <x:row r="883">
      <x:c r="V883" s="141" t="n">
        <x:v>46173</x:v>
      </x:c>
      <x:c r="W883" s="142" t="n">
        <x:v>73884.38</x:v>
      </x:c>
      <x:c r="X883" s="142" t="n">
        <x:v>74275.66</x:v>
      </x:c>
      <x:c r="Y883" s="142" t="n">
        <x:v>73400</x:v>
      </x:c>
      <x:c r="Z883" s="142" t="n">
        <x:v>73674.39</x:v>
      </x:c>
      <x:c r="AA883" s="142" t="n">
        <x:v>13168.498230188949</x:v>
      </x:c>
      <x:c r="AB883" s="142" t="n">
        <x:v>10982.976849732833</x:v>
      </x:c>
    </x:row>
    <x:row r="884">
      <x:c r="V884" s="141" t="n">
        <x:v>46174</x:v>
      </x:c>
      <x:c r="W884" s="142" t="n">
        <x:v>73674.39</x:v>
      </x:c>
      <x:c r="X884" s="142" t="n">
        <x:v>74092</x:v>
      </x:c>
      <x:c r="Y884" s="142" t="n">
        <x:v>70686.68</x:v>
      </x:c>
      <x:c r="Z884" s="142" t="n">
        <x:v>71408.9</x:v>
      </x:c>
      <x:c r="AA884" s="142" t="n">
        <x:v>13168.498230188949</x:v>
      </x:c>
      <x:c r="AB884" s="142" t="n">
        <x:v>10982.976849732833</x:v>
      </x:c>
    </x:row>
    <x:row r="885">
      <x:c r="V885" s="141" t="n">
        <x:v>46175</x:v>
      </x:c>
      <x:c r="W885" s="142" t="n">
        <x:v>71408.9</x:v>
      </x:c>
      <x:c r="X885" s="142" t="n">
        <x:v>71408.9</x:v>
      </x:c>
      <x:c r="Y885" s="142" t="n">
        <x:v>66193</x:v>
      </x:c>
      <x:c r="Z885" s="142" t="n">
        <x:v>66760.83</x:v>
      </x:c>
      <x:c r="AA885" s="142" t="n">
        <x:v>13168.498230188949</x:v>
      </x:c>
      <x:c r="AB885" s="142" t="n">
        <x:v>10982.976849732833</x:v>
      </x:c>
    </x:row>
    <x:row r="886">
      <x:c r="V886" s="141" t="n">
        <x:v>46176</x:v>
      </x:c>
      <x:c r="W886" s="142" t="n">
        <x:v>66760.84</x:v>
      </x:c>
      <x:c r="X886" s="142" t="n">
        <x:v>67516</x:v>
      </x:c>
      <x:c r="Y886" s="142" t="n">
        <x:v>64092.49</x:v>
      </x:c>
      <x:c r="Z886" s="142" t="n">
        <x:v>64142.75</x:v>
      </x:c>
      <x:c r="AA886" s="142" t="n">
        <x:v>13168.498230188949</x:v>
      </x:c>
      <x:c r="AB886" s="142" t="n">
        <x:v>10982.976849732833</x:v>
      </x:c>
    </x:row>
    <x:row r="887">
      <x:c r="V887" s="141" t="n">
        <x:v>46177</x:v>
      </x:c>
      <x:c r="W887" s="142" t="n">
        <x:v>64142.75</x:v>
      </x:c>
      <x:c r="X887" s="142" t="n">
        <x:v>64764.32</x:v>
      </x:c>
      <x:c r="Y887" s="142" t="n">
        <x:v>61383.56</x:v>
      </x:c>
      <x:c r="Z887" s="142" t="n">
        <x:v>63885.99</x:v>
      </x:c>
      <x:c r="AA887" s="142" t="n">
        <x:v>13168.498230188949</x:v>
      </x:c>
      <x:c r="AB887" s="142" t="n">
        <x:v>10982.976849732833</x:v>
      </x:c>
    </x:row>
    <x:row r="888">
      <x:c r="V888" s="141" t="n">
        <x:v>46178</x:v>
      </x:c>
      <x:c r="W888" s="142" t="n">
        <x:v>63885.99</x:v>
      </x:c>
      <x:c r="X888" s="142" t="n">
        <x:v>63978</x:v>
      </x:c>
      <x:c r="Y888" s="142" t="n">
        <x:v>59130.91</x:v>
      </x:c>
      <x:c r="Z888" s="142" t="n">
        <x:v>61056.47</x:v>
      </x:c>
      <x:c r="AA888" s="142" t="n">
        <x:v>13168.498230188949</x:v>
      </x:c>
      <x:c r="AB888" s="142" t="n">
        <x:v>10982.976849732833</x:v>
      </x:c>
    </x:row>
    <x:row r="889">
      <x:c r="V889" s="141" t="n">
        <x:v>46179</x:v>
      </x:c>
      <x:c r="W889" s="142" t="n">
        <x:v>61056.47</x:v>
      </x:c>
      <x:c r="X889" s="142" t="n">
        <x:v>61530.05</x:v>
      </x:c>
      <x:c r="Y889" s="142" t="n">
        <x:v>59500</x:v>
      </x:c>
      <x:c r="Z889" s="142" t="n">
        <x:v>60884.62</x:v>
      </x:c>
      <x:c r="AA889" s="142" t="n">
        <x:v>13168.498230188949</x:v>
      </x:c>
      <x:c r="AB889" s="142" t="n">
        <x:v>10982.976849732833</x:v>
      </x:c>
    </x:row>
    <x:row r="890">
      <x:c r="V890" s="141" t="n">
        <x:v>46180</x:v>
      </x:c>
      <x:c r="W890" s="142" t="n">
        <x:v>60884.62</x:v>
      </x:c>
      <x:c r="X890" s="142" t="n">
        <x:v>64234.68</x:v>
      </x:c>
      <x:c r="Y890" s="142" t="n">
        <x:v>60746</x:v>
      </x:c>
      <x:c r="Z890" s="142" t="n">
        <x:v>63332.01</x:v>
      </x:c>
      <x:c r="AA890" s="142" t="n">
        <x:v>13168.498230188949</x:v>
      </x:c>
      <x:c r="AB890" s="142" t="n">
        <x:v>10982.976849732833</x:v>
      </x:c>
    </x:row>
    <x:row r="891">
      <x:c r="V891" s="141" t="n">
        <x:v>46181</x:v>
      </x:c>
      <x:c r="W891" s="142" t="n">
        <x:v>63332.01</x:v>
      </x:c>
      <x:c r="X891" s="142" t="n">
        <x:v>64200</x:v>
      </x:c>
      <x:c r="Y891" s="142" t="n">
        <x:v>62408</x:v>
      </x:c>
      <x:c r="Z891" s="142" t="n">
        <x:v>63085.99</x:v>
      </x:c>
      <x:c r="AA891" s="142" t="n">
        <x:v>13168.498230188949</x:v>
      </x:c>
      <x:c r="AB891" s="142" t="n">
        <x:v>10982.976849732833</x:v>
      </x:c>
    </x:row>
    <x:row r="892">
      <x:c r="V892" s="141" t="n">
        <x:v>46182</x:v>
      </x:c>
      <x:c r="W892" s="142" t="n">
        <x:v>63086</x:v>
      </x:c>
      <x:c r="X892" s="142" t="n">
        <x:v>63526.01</x:v>
      </x:c>
      <x:c r="Y892" s="142" t="n">
        <x:v>60780</x:v>
      </x:c>
      <x:c r="Z892" s="142" t="n">
        <x:v>61730</x:v>
      </x:c>
      <x:c r="AA892" s="142" t="n">
        <x:v>13168.498230188949</x:v>
      </x:c>
      <x:c r="AB892" s="142" t="n">
        <x:v>10982.976849732833</x:v>
      </x:c>
    </x:row>
    <x:row r="893">
      <x:c r="V893" s="141" t="n">
        <x:v>46183</x:v>
      </x:c>
      <x:c r="W893" s="142" t="n">
        <x:v>61730</x:v>
      </x:c>
      <x:c r="X893" s="142" t="n">
        <x:v>62857.99</x:v>
      </x:c>
      <x:c r="Y893" s="142" t="n">
        <x:v>60755</x:v>
      </x:c>
      <x:c r="Z893" s="142" t="n">
        <x:v>61510.99</x:v>
      </x:c>
      <x:c r="AA893" s="142" t="n">
        <x:v>13168.498230188949</x:v>
      </x:c>
      <x:c r="AB893" s="142" t="n">
        <x:v>10982.976849732833</x:v>
      </x:c>
    </x:row>
    <x:row r="894">
      <x:c r="V894" s="141" t="n">
        <x:v>46184</x:v>
      </x:c>
      <x:c r="W894" s="142" t="n">
        <x:v>61510.99</x:v>
      </x:c>
      <x:c r="X894" s="142" t="n">
        <x:v>63933.02</x:v>
      </x:c>
      <x:c r="Y894" s="142" t="n">
        <x:v>61510.99</x:v>
      </x:c>
      <x:c r="Z894" s="142" t="n">
        <x:v>63625.99</x:v>
      </x:c>
      <x:c r="AA894" s="142" t="n">
        <x:v>13168.498230188949</x:v>
      </x:c>
      <x:c r="AB894" s="142" t="n">
        <x:v>10982.976849732833</x:v>
      </x:c>
    </x:row>
    <x:row r="895">
      <x:c r="V895" s="141" t="n">
        <x:v>46185</x:v>
      </x:c>
      <x:c r="W895" s="142" t="n">
        <x:v>63626</x:v>
      </x:c>
      <x:c r="X895" s="142" t="n">
        <x:v>64394.44</x:v>
      </x:c>
      <x:c r="Y895" s="142" t="n">
        <x:v>62829.81</x:v>
      </x:c>
      <x:c r="Z895" s="142" t="n">
        <x:v>63580.01</x:v>
      </x:c>
      <x:c r="AA895" s="142" t="n">
        <x:v>13168.498230188949</x:v>
      </x:c>
      <x:c r="AB895" s="142" t="n">
        <x:v>10982.976849732833</x:v>
      </x:c>
    </x:row>
    <x:row r="896">
      <x:c r="V896" s="141" t="n">
        <x:v>46186</x:v>
      </x:c>
      <x:c r="W896" s="142" t="n">
        <x:v>63580</x:v>
      </x:c>
      <x:c r="X896" s="142" t="n">
        <x:v>64762.77</x:v>
      </x:c>
      <x:c r="Y896" s="142" t="n">
        <x:v>63418.66</x:v>
      </x:c>
      <x:c r="Z896" s="142" t="n">
        <x:v>64458.01</x:v>
      </x:c>
      <x:c r="AA896" s="142" t="n">
        <x:v>13168.498230188949</x:v>
      </x:c>
      <x:c r="AB896" s="142" t="n">
        <x:v>10982.976849732833</x:v>
      </x:c>
    </x:row>
    <x:row r="897">
      <x:c r="V897" s="141" t="n">
        <x:v>46187</x:v>
      </x:c>
      <x:c r="W897" s="142" t="n">
        <x:v>64458.01</x:v>
      </x:c>
      <x:c r="X897" s="142" t="n">
        <x:v>65800</x:v>
      </x:c>
      <x:c r="Y897" s="142" t="n">
        <x:v>63678.83</x:v>
      </x:c>
      <x:c r="Z897" s="142" t="n">
        <x:v>65746.45</x:v>
      </x:c>
      <x:c r="AA897" s="142" t="n">
        <x:v>13168.498230188949</x:v>
      </x:c>
      <x:c r="AB897" s="142" t="n">
        <x:v>10982.976849732833</x:v>
      </x:c>
    </x:row>
    <x:row r="898">
      <x:c r="V898" s="141" t="n">
        <x:v>46188</x:v>
      </x:c>
      <x:c r="W898" s="142" t="n">
        <x:v>65746.45</x:v>
      </x:c>
      <x:c r="X898" s="142" t="n">
        <x:v>67292.15</x:v>
      </x:c>
      <x:c r="Y898" s="142" t="n">
        <x:v>65354</x:v>
      </x:c>
      <x:c r="Z898" s="142" t="n">
        <x:v>66328.74</x:v>
      </x:c>
      <x:c r="AA898" s="142" t="n">
        <x:v>13168.498230188949</x:v>
      </x:c>
      <x:c r="AB898" s="142" t="n">
        <x:v>10982.976849732833</x:v>
      </x:c>
    </x:row>
    <x:row r="899">
      <x:c r="V899" s="141" t="n">
        <x:v>46189</x:v>
      </x:c>
      <x:c r="W899" s="142" t="n">
        <x:v>66328.74</x:v>
      </x:c>
      <x:c r="X899" s="142" t="n">
        <x:v>66992</x:v>
      </x:c>
      <x:c r="Y899" s="142" t="n">
        <x:v>65360.92</x:v>
      </x:c>
      <x:c r="Z899" s="142" t="n">
        <x:v>65675.01</x:v>
      </x:c>
      <x:c r="AA899" s="142" t="n">
        <x:v>13168.498230188949</x:v>
      </x:c>
      <x:c r="AB899" s="142" t="n">
        <x:v>10982.976849732833</x:v>
      </x:c>
    </x:row>
    <x:row r="900">
      <x:c r="V900" s="141" t="n">
        <x:v>46190</x:v>
      </x:c>
      <x:c r="W900" s="142" t="n">
        <x:v>65675.02</x:v>
      </x:c>
      <x:c r="X900" s="142" t="n">
        <x:v>66445.93</x:v>
      </x:c>
      <x:c r="Y900" s="142" t="n">
        <x:v>63915.77</x:v>
      </x:c>
      <x:c r="Z900" s="142" t="n">
        <x:v>64509.4</x:v>
      </x:c>
      <x:c r="AA900" s="142" t="n">
        <x:v>13168.498230188949</x:v>
      </x:c>
      <x:c r="AB900" s="142" t="n">
        <x:v>10982.976849732833</x:v>
      </x:c>
    </x:row>
    <x:row r="901">
      <x:c r="V901" s="141" t="n">
        <x:v>46191</x:v>
      </x:c>
      <x:c r="W901" s="142" t="n">
        <x:v>64509.4</x:v>
      </x:c>
      <x:c r="X901" s="142" t="n">
        <x:v>64806</x:v>
      </x:c>
      <x:c r="Y901" s="142" t="n">
        <x:v>62272.07</x:v>
      </x:c>
      <x:c r="Z901" s="142" t="n">
        <x:v>62958.01</x:v>
      </x:c>
      <x:c r="AA901" s="142" t="n">
        <x:v>13168.498230188949</x:v>
      </x:c>
      <x:c r="AB901" s="142" t="n">
        <x:v>10982.976849732833</x:v>
      </x:c>
    </x:row>
    <x:row r="902">
      <x:c r="V902" s="141" t="n">
        <x:v>46192</x:v>
      </x:c>
      <x:c r="W902" s="142" t="n">
        <x:v>62958.01</x:v>
      </x:c>
      <x:c r="X902" s="142" t="n">
        <x:v>63666</x:v>
      </x:c>
      <x:c r="Y902" s="142" t="n">
        <x:v>62316.44</x:v>
      </x:c>
      <x:c r="Z902" s="142" t="n">
        <x:v>63543.91</x:v>
      </x:c>
      <x:c r="AA902" s="142" t="n">
        <x:v>13168.498230188949</x:v>
      </x:c>
      <x:c r="AB902" s="142" t="n">
        <x:v>10982.976849732833</x:v>
      </x:c>
    </x:row>
    <x:row r="903">
      <x:c r="V903" s="141" t="n">
        <x:v>46193</x:v>
      </x:c>
      <x:c r="W903" s="142" t="n">
        <x:v>63543.9</x:v>
      </x:c>
      <x:c r="X903" s="142" t="n">
        <x:v>64388</x:v>
      </x:c>
      <x:c r="Y903" s="142" t="n">
        <x:v>63184.21</x:v>
      </x:c>
      <x:c r="Z903" s="142" t="n">
        <x:v>64298.01</x:v>
      </x:c>
      <x:c r="AA903" s="142" t="n">
        <x:v>13168.498230188949</x:v>
      </x:c>
      <x:c r="AB903" s="142" t="n">
        <x:v>10982.976849732833</x:v>
      </x:c>
    </x:row>
    <x:row r="904">
      <x:c r="V904" s="141" t="n">
        <x:v>46194</x:v>
      </x:c>
      <x:c r="W904" s="142" t="n">
        <x:v>64298.01</x:v>
      </x:c>
      <x:c r="X904" s="142" t="n">
        <x:v>64588</x:v>
      </x:c>
      <x:c r="Y904" s="142" t="n">
        <x:v>63270</x:v>
      </x:c>
      <x:c r="Z904" s="142" t="n">
        <x:v>63311.99</x:v>
      </x:c>
      <x:c r="AA904" s="142" t="n">
        <x:v>13168.498230188949</x:v>
      </x:c>
      <x:c r="AB904" s="142" t="n">
        <x:v>10982.976849732833</x:v>
      </x:c>
    </x:row>
    <x:row r="905">
      <x:c r="V905" s="141" t="n">
        <x:v>46195</x:v>
      </x:c>
      <x:c r="W905" s="142" t="n">
        <x:v>63312</x:v>
      </x:c>
      <x:c r="X905" s="142" t="n">
        <x:v>65622.83</x:v>
      </x:c>
      <x:c r="Y905" s="142" t="n">
        <x:v>63312</x:v>
      </x:c>
      <x:c r="Z905" s="142" t="n">
        <x:v>64020.01</x:v>
      </x:c>
      <x:c r="AA905" s="142" t="n">
        <x:v>13168.498230188949</x:v>
      </x:c>
      <x:c r="AB905" s="142" t="n">
        <x:v>10982.976849732833</x:v>
      </x:c>
    </x:row>
    <x:row r="906">
      <x:c r="V906" s="141" t="n">
        <x:v>46196</x:v>
      </x:c>
      <x:c r="W906" s="142" t="n">
        <x:v>64020.01</x:v>
      </x:c>
      <x:c r="X906" s="142" t="n">
        <x:v>64275.38</x:v>
      </x:c>
      <x:c r="Y906" s="142" t="n">
        <x:v>61938</x:v>
      </x:c>
      <x:c r="Z906" s="142" t="n">
        <x:v>62734.57</x:v>
      </x:c>
      <x:c r="AA906" s="142" t="n">
        <x:v>13168.498230188949</x:v>
      </x:c>
      <x:c r="AB906" s="142" t="n">
        <x:v>10982.976849732833</x:v>
      </x:c>
    </x:row>
    <x:row r="907">
      <x:c r="V907" s="141" t="n">
        <x:v>46197</x:v>
      </x:c>
      <x:c r="W907" s="142" t="n">
        <x:v>62734.57</x:v>
      </x:c>
      <x:c r="X907" s="142" t="n">
        <x:v>63239.06</x:v>
      </x:c>
      <x:c r="Y907" s="142" t="n">
        <x:v>59102.7</x:v>
      </x:c>
      <x:c r="Z907" s="142" t="n">
        <x:v>61077.99</x:v>
      </x:c>
      <x:c r="AA907" s="142" t="n">
        <x:v>13168.498230188949</x:v>
      </x:c>
      <x:c r="AB907" s="142" t="n">
        <x:v>10982.976849732833</x:v>
      </x:c>
    </x:row>
    <x:row r="908">
      <x:c r="V908" s="141" t="n">
        <x:v>46198</x:v>
      </x:c>
      <x:c r="W908" s="142" t="n">
        <x:v>61078</x:v>
      </x:c>
      <x:c r="X908" s="142" t="n">
        <x:v>61962.4</x:v>
      </x:c>
      <x:c r="Y908" s="142" t="n">
        <x:v>58115.01</x:v>
      </x:c>
      <x:c r="Z908" s="142" t="n">
        <x:v>59794</x:v>
      </x:c>
      <x:c r="AA908" s="142" t="n">
        <x:v>13168.498230188949</x:v>
      </x:c>
      <x:c r="AB908" s="142" t="n">
        <x:v>10982.976849732833</x:v>
      </x:c>
    </x:row>
    <x:row r="909">
      <x:c r="V909" s="141" t="n">
        <x:v>46199</x:v>
      </x:c>
      <x:c r="W909" s="142" t="n">
        <x:v>59794.64</x:v>
      </x:c>
      <x:c r="X909" s="142" t="n">
        <x:v>60759.99</x:v>
      </x:c>
      <x:c r="Y909" s="142" t="n">
        <x:v>58337</x:v>
      </x:c>
      <x:c r="Z909" s="142" t="n">
        <x:v>60097.27</x:v>
      </x:c>
      <x:c r="AA909" s="142" t="n">
        <x:v>13168.498230188949</x:v>
      </x:c>
      <x:c r="AB909" s="142" t="n">
        <x:v>10982.976849732833</x:v>
      </x:c>
    </x:row>
    <x:row r="910">
      <x:c r="V910" s="141" t="n">
        <x:v>46200</x:v>
      </x:c>
      <x:c r="W910" s="142" t="n">
        <x:v>60097.27</x:v>
      </x:c>
      <x:c r="X910" s="142" t="n">
        <x:v>60941.17</x:v>
      </x:c>
      <x:c r="Y910" s="142" t="n">
        <x:v>59855.16</x:v>
      </x:c>
      <x:c r="Z910" s="142" t="n">
        <x:v>60029</x:v>
      </x:c>
      <x:c r="AA910" s="142" t="n">
        <x:v>13168.498230188949</x:v>
      </x:c>
      <x:c r="AB910" s="142" t="n">
        <x:v>10982.976849732833</x:v>
      </x:c>
    </x:row>
    <x:row r="911">
      <x:c r="V911" s="141" t="n">
        <x:v>46201</x:v>
      </x:c>
      <x:c r="W911" s="142" t="n">
        <x:v>60029.01</x:v>
      </x:c>
      <x:c r="X911" s="142" t="n">
        <x:v>60545.01</x:v>
      </x:c>
      <x:c r="Y911" s="142" t="n">
        <x:v>58905</x:v>
      </x:c>
      <x:c r="Z911" s="142" t="n">
        <x:v>59577.01</x:v>
      </x:c>
      <x:c r="AA911" s="142" t="n">
        <x:v>13168.498230188949</x:v>
      </x:c>
      <x:c r="AB911" s="142" t="n">
        <x:v>10982.976849732833</x:v>
      </x:c>
    </x:row>
    <x:row r="912">
      <x:c r="V912" s="141" t="n">
        <x:v>46202</x:v>
      </x:c>
      <x:c r="W912" s="142" t="n">
        <x:v>59577.01</x:v>
      </x:c>
      <x:c r="X912" s="142" t="n">
        <x:v>60780.57</x:v>
      </x:c>
      <x:c r="Y912" s="142" t="n">
        <x:v>58900.01</x:v>
      </x:c>
      <x:c r="Z912" s="142" t="n">
        <x:v>60260.21</x:v>
      </x:c>
      <x:c r="AA912" s="142" t="n">
        <x:v>13168.498230188949</x:v>
      </x:c>
      <x:c r="AB912" s="142" t="n">
        <x:v>10982.976849732833</x:v>
      </x:c>
    </x:row>
    <x:row r="913">
      <x:c r="V913" s="141" t="n">
        <x:v>46203</x:v>
      </x:c>
      <x:c r="W913" s="142" t="n">
        <x:v>60260.2</x:v>
      </x:c>
      <x:c r="X913" s="142" t="n">
        <x:v>60276.54</x:v>
      </x:c>
      <x:c r="Y913" s="142" t="n">
        <x:v>58201</x:v>
      </x:c>
      <x:c r="Z913" s="142" t="n">
        <x:v>58624.71</x:v>
      </x:c>
      <x:c r="AA913" s="142" t="n">
        <x:v>13168.498230188949</x:v>
      </x:c>
      <x:c r="AB913" s="142" t="n">
        <x:v>10982.976849732833</x:v>
      </x:c>
    </x:row>
    <x:row r="914">
      <x:c r="V914" s="141" t="n">
        <x:v>46204</x:v>
      </x:c>
      <x:c r="W914" s="142" t="n">
        <x:v>58624.71</x:v>
      </x:c>
      <x:c r="X914" s="142" t="n">
        <x:v>61334</x:v>
      </x:c>
      <x:c r="Y914" s="142" t="n">
        <x:v>57800.19</x:v>
      </x:c>
      <x:c r="Z914" s="142" t="n">
        <x:v>60024</x:v>
      </x:c>
      <x:c r="AA914" s="142" t="n">
        <x:v>13168.498230188949</x:v>
      </x:c>
      <x:c r="AB914" s="142" t="n">
        <x:v>10982.976849732833</x:v>
      </x:c>
    </x:row>
    <x:row r="915">
      <x:c r="V915" s="141" t="n">
        <x:v>46205</x:v>
      </x:c>
      <x:c r="W915" s="142" t="n">
        <x:v>60024</x:v>
      </x:c>
      <x:c r="X915" s="142" t="n">
        <x:v>62200</x:v>
      </x:c>
      <x:c r="Y915" s="142" t="n">
        <x:v>59588</x:v>
      </x:c>
      <x:c r="Z915" s="142" t="n">
        <x:v>61560</x:v>
      </x:c>
      <x:c r="AA915" s="142" t="n">
        <x:v>13168.498230188949</x:v>
      </x:c>
      <x:c r="AB915" s="142" t="n">
        <x:v>10982.976849732833</x:v>
      </x:c>
    </x:row>
    <x:row r="916">
      <x:c r="V916" s="141" t="n">
        <x:v>46206</x:v>
      </x:c>
      <x:c r="W916" s="142" t="n">
        <x:v>61560</x:v>
      </x:c>
      <x:c r="X916" s="142" t="n">
        <x:v>62979.86</x:v>
      </x:c>
      <x:c r="Y916" s="142" t="n">
        <x:v>61248.86</x:v>
      </x:c>
      <x:c r="Z916" s="142" t="n">
        <x:v>62583.26</x:v>
      </x:c>
      <x:c r="AA916" s="142" t="n">
        <x:v>13168.498230188949</x:v>
      </x:c>
      <x:c r="AB916" s="142" t="n">
        <x:v>10982.976849732833</x:v>
      </x:c>
    </x:row>
    <x:row r="917">
      <x:c r="V917" s="141" t="n">
        <x:v>46207</x:v>
      </x:c>
      <x:c r="W917" s="142" t="n">
        <x:v>62583.26</x:v>
      </x:c>
      <x:c r="X917" s="142" t="n">
        <x:v>63461.99</x:v>
      </x:c>
      <x:c r="Y917" s="142" t="n">
        <x:v>62328.24</x:v>
      </x:c>
      <x:c r="Z917" s="142" t="n">
        <x:v>63144.01</x:v>
      </x:c>
      <x:c r="AA917" s="142" t="n">
        <x:v>13168.498230188949</x:v>
      </x:c>
      <x:c r="AB917" s="142" t="n">
        <x:v>10982.976849732833</x:v>
      </x:c>
    </x:row>
    <x:row r="918">
      <x:c r="V918" s="141" t="n">
        <x:v>46208</x:v>
      </x:c>
      <x:c r="W918" s="142" t="n">
        <x:v>63144.01</x:v>
      </x:c>
      <x:c r="X918" s="142" t="n">
        <x:v>63999</x:v>
      </x:c>
      <x:c r="Y918" s="142" t="n">
        <x:v>62436.59</x:v>
      </x:c>
      <x:c r="Z918" s="142" t="n">
        <x:v>63650</x:v>
      </x:c>
      <x:c r="AA918" s="142" t="n">
        <x:v>13168.498230188949</x:v>
      </x:c>
      <x:c r="AB918" s="142" t="n">
        <x:v>10982.976849732833</x:v>
      </x:c>
    </x:row>
    <x:row r="919">
      <x:c r="V919" s="141" t="n">
        <x:v>46209</x:v>
      </x:c>
      <x:c r="W919" s="142" t="n">
        <x:v>63650.01</x:v>
      </x:c>
      <x:c r="X919" s="142" t="n">
        <x:v>64700</x:v>
      </x:c>
      <x:c r="Y919" s="142" t="n">
        <x:v>61306.84</x:v>
      </x:c>
      <x:c r="Z919" s="142" t="n">
        <x:v>64042.02</x:v>
      </x:c>
      <x:c r="AA919" s="142" t="n">
        <x:v>13168.498230188949</x:v>
      </x:c>
      <x:c r="AB919" s="142" t="n">
        <x:v>10982.976849732833</x:v>
      </x:c>
    </x:row>
    <x:row r="920">
      <x:c r="V920" s="141" t="n">
        <x:v>46210</x:v>
      </x:c>
      <x:c r="W920" s="142" t="n">
        <x:v>64042.93</x:v>
      </x:c>
      <x:c r="X920" s="142" t="n">
        <x:v>64314</x:v>
      </x:c>
      <x:c r="Y920" s="142" t="n">
        <x:v>62671.39</x:v>
      </x:c>
      <x:c r="Z920" s="142" t="n">
        <x:v>63363.99</x:v>
      </x:c>
      <x:c r="AA920" s="142" t="n">
        <x:v>13168.498230188949</x:v>
      </x:c>
      <x:c r="AB920" s="142" t="n">
        <x:v>10982.976849732833</x:v>
      </x:c>
    </x:row>
    <x:row r="921">
      <x:c r="V921" s="141" t="n">
        <x:v>46211</x:v>
      </x:c>
      <x:c r="W921" s="142" t="n">
        <x:v>63364</x:v>
      </x:c>
      <x:c r="X921" s="142" t="n">
        <x:v>63761.99</x:v>
      </x:c>
      <x:c r="Y921" s="142" t="n">
        <x:v>61544.56</x:v>
      </x:c>
      <x:c r="Z921" s="142" t="n">
        <x:v>62290</x:v>
      </x:c>
      <x:c r="AA921" s="142" t="n">
        <x:v>13168.498230188949</x:v>
      </x:c>
      <x:c r="AB921" s="142" t="n">
        <x:v>10982.976849732833</x:v>
      </x:c>
    </x:row>
    <x:row r="922">
      <x:c r="V922" s="141" t="n">
        <x:v>46212</x:v>
      </x:c>
      <x:c r="W922" s="142" t="n">
        <x:v>62290.01</x:v>
      </x:c>
      <x:c r="X922" s="142" t="n">
        <x:v>63500</x:v>
      </x:c>
      <x:c r="Y922" s="142" t="n">
        <x:v>61705.29</x:v>
      </x:c>
      <x:c r="Z922" s="142" t="n">
        <x:v>63230</x:v>
      </x:c>
      <x:c r="AA922" s="142" t="n">
        <x:v>13168.498230188949</x:v>
      </x:c>
      <x:c r="AB922" s="142" t="n">
        <x:v>10982.976849732833</x:v>
      </x:c>
    </x:row>
    <x:row r="923">
      <x:c r="V923" s="141" t="n">
        <x:v>46213</x:v>
      </x:c>
      <x:c r="W923" s="142" t="n">
        <x:v>63230.01</x:v>
      </x:c>
      <x:c r="X923" s="142" t="n">
        <x:v>64692.83</x:v>
      </x:c>
      <x:c r="Y923" s="142" t="n">
        <x:v>62926.01</x:v>
      </x:c>
      <x:c r="Z923" s="142" t="n">
        <x:v>64161.72</x:v>
      </x:c>
      <x:c r="AA923" s="142" t="n">
        <x:v>13168.498230188949</x:v>
      </x:c>
      <x:c r="AB923" s="142" t="n">
        <x:v>10982.976849732833</x:v>
      </x:c>
    </x:row>
    <x:row r="924">
      <x:c r="V924" s="141" t="n">
        <x:v>46214</x:v>
      </x:c>
      <x:c r="W924" s="142" t="n">
        <x:v>64161.72</x:v>
      </x:c>
      <x:c r="X924" s="142" t="n">
        <x:v>64504.11</x:v>
      </x:c>
      <x:c r="Y924" s="142" t="n">
        <x:v>63819</x:v>
      </x:c>
      <x:c r="Z924" s="142" t="n">
        <x:v>63819</x:v>
      </x:c>
      <x:c r="AA924" s="142" t="n">
        <x:v>13168.498230188949</x:v>
      </x:c>
      <x:c r="AB924" s="142" t="n">
        <x:v>10982.976849732833</x:v>
      </x:c>
    </x:row>
    <x:row r="925">
      <x:c r="V925" s="141" t="n">
        <x:v>46215</x:v>
      </x:c>
      <x:c r="W925" s="142" t="n">
        <x:v>63819.01</x:v>
      </x:c>
      <x:c r="X925" s="142" t="n">
        <x:v>64290.11</x:v>
      </x:c>
      <x:c r="Y925" s="142" t="n">
        <x:v>63640.83</x:v>
      </x:c>
      <x:c r="Z925" s="142" t="n">
        <x:v>63780</x:v>
      </x:c>
      <x:c r="AA925" s="142" t="n">
        <x:v>13168.498230188949</x:v>
      </x:c>
      <x:c r="AB925" s="142" t="n">
        <x:v>10982.976849732833</x:v>
      </x:c>
    </x:row>
    <x:row r="926">
      <x:c r="V926" s="141" t="n">
        <x:v>46216</x:v>
      </x:c>
      <x:c r="W926" s="142" t="n">
        <x:v>63780</x:v>
      </x:c>
      <x:c r="X926" s="142" t="n">
        <x:v>64425</x:v>
      </x:c>
      <x:c r="Y926" s="142" t="n">
        <x:v>61824.97</x:v>
      </x:c>
      <x:c r="Z926" s="142" t="n">
        <x:v>62334.52</x:v>
      </x:c>
      <x:c r="AA926" s="142" t="n">
        <x:v>13168.498230188949</x:v>
      </x:c>
      <x:c r="AB926" s="142" t="n">
        <x:v>10982.976849732833</x:v>
      </x:c>
    </x:row>
    <x:row r="927">
      <x:c r="V927" s="141" t="n">
        <x:v>46217</x:v>
      </x:c>
      <x:c r="W927" s="142" t="n">
        <x:v>62334.52</x:v>
      </x:c>
      <x:c r="X927" s="142" t="n">
        <x:v>65100</x:v>
      </x:c>
      <x:c r="Y927" s="142" t="n">
        <x:v>62272.2</x:v>
      </x:c>
      <x:c r="Z927" s="142" t="n">
        <x:v>65043.98</x:v>
      </x:c>
      <x:c r="AA927" s="142" t="n">
        <x:v>13168.498230188949</x:v>
      </x:c>
      <x:c r="AB927" s="142" t="n">
        <x:v>10982.976849732833</x:v>
      </x:c>
    </x:row>
    <x:row r="928">
      <x:c r="V928" s="141" t="n">
        <x:v>46218</x:v>
      </x:c>
      <x:c r="W928" s="142" t="n">
        <x:v>65043.99</x:v>
      </x:c>
      <x:c r="X928" s="142" t="n">
        <x:v>65600</x:v>
      </x:c>
      <x:c r="Y928" s="142" t="n">
        <x:v>64485</x:v>
      </x:c>
      <x:c r="Z928" s="142" t="n">
        <x:v>64756.28</x:v>
      </x:c>
      <x:c r="AA928" s="142" t="n">
        <x:v>13168.498230188949</x:v>
      </x:c>
      <x:c r="AB928" s="142" t="n">
        <x:v>10982.976849732833</x:v>
      </x:c>
    </x:row>
    <x:row r="929">
      <x:c r="V929" s="141" t="n">
        <x:v>46219</x:v>
      </x:c>
      <x:c r="W929" s="142" t="n">
        <x:v>64756.28</x:v>
      </x:c>
      <x:c r="X929" s="142" t="n">
        <x:v>64997.52</x:v>
      </x:c>
      <x:c r="Y929" s="142" t="n">
        <x:v>63748.74</x:v>
      </x:c>
      <x:c r="Z929" s="142" t="n">
        <x:v>63830.2</x:v>
      </x:c>
      <x:c r="AA929" s="142" t="n">
        <x:v>13168.498230188949</x:v>
      </x:c>
      <x:c r="AB929" s="142" t="n">
        <x:v>10982.976849732833</x:v>
      </x:c>
    </x:row>
    <x:row r="930">
      <x:c r="V930" s="141" t="n">
        <x:v>46220</x:v>
      </x:c>
      <x:c r="W930" s="142" t="n">
        <x:v>63830.2</x:v>
      </x:c>
      <x:c r="X930" s="142" t="n">
        <x:v>64387.99</x:v>
      </x:c>
      <x:c r="Y930" s="142" t="n">
        <x:v>62537.56</x:v>
      </x:c>
      <x:c r="Z930" s="142" t="n">
        <x:v>63931.67</x:v>
      </x:c>
      <x:c r="AA930" s="142" t="n">
        <x:v>13168.498230188949</x:v>
      </x:c>
      <x:c r="AB930" s="142" t="n">
        <x:v>10982.976849732833</x:v>
      </x:c>
    </x:row>
    <x:row r="931">
      <x:c r="V931" s="141" t="n">
        <x:v>46221</x:v>
      </x:c>
      <x:c r="W931" s="142" t="n">
        <x:v>63931.67</x:v>
      </x:c>
      <x:c r="X931" s="142" t="n">
        <x:v>64865</x:v>
      </x:c>
      <x:c r="Y931" s="142" t="n">
        <x:v>63886.65</x:v>
      </x:c>
      <x:c r="Z931" s="142" t="n">
        <x:v>64834.22</x:v>
      </x:c>
      <x:c r="AA931" s="142" t="n">
        <x:v>13168.498230188949</x:v>
      </x:c>
      <x:c r="AB931" s="142" t="n">
        <x:v>10982.976849732833</x:v>
      </x:c>
    </x:row>
    <x:row r="932">
      <x:c r="V932" s="141" t="n">
        <x:v>46222</x:v>
      </x:c>
      <x:c r="W932" s="142" t="n">
        <x:v>64834.21</x:v>
      </x:c>
      <x:c r="X932" s="142" t="n">
        <x:v>64967.25</x:v>
      </x:c>
      <x:c r="Y932" s="142" t="n">
        <x:v>64280</x:v>
      </x:c>
      <x:c r="Z932" s="142" t="n">
        <x:v>64722.54</x:v>
      </x:c>
      <x:c r="AA932" s="142" t="n">
        <x:v>13168.498230188949</x:v>
      </x:c>
      <x:c r="AB932" s="142" t="n">
        <x:v>10982.976849732833</x:v>
      </x:c>
    </x:row>
    <x:row r="933">
      <x:c r="V933" s="141" t="n">
        <x:v>46223</x:v>
      </x:c>
      <x:c r="W933" s="142" t="n">
        <x:v>64722.55</x:v>
      </x:c>
      <x:c r="X933" s="142" t="n">
        <x:v>65799</x:v>
      </x:c>
      <x:c r="Y933" s="142" t="n">
        <x:v>63100</x:v>
      </x:c>
      <x:c r="Z933" s="142" t="n">
        <x:v>65255.51</x:v>
      </x:c>
      <x:c r="AA933" s="142" t="n">
        <x:v>13168.498230188949</x:v>
      </x:c>
      <x:c r="AB933" s="142" t="n">
        <x:v>10982.976849732833</x:v>
      </x:c>
    </x:row>
    <x:row r="934">
      <x:c r="V934" s="141" t="n">
        <x:v>46224</x:v>
      </x:c>
      <x:c r="W934" s="142" t="n">
        <x:v>65255.51</x:v>
      </x:c>
      <x:c r="X934" s="142" t="n">
        <x:v>66956.15</x:v>
      </x:c>
      <x:c r="Y934" s="142" t="n">
        <x:v>65148.75</x:v>
      </x:c>
      <x:c r="Z934" s="142" t="n">
        <x:v>66556.16</x:v>
      </x:c>
      <x:c r="AA934" s="142" t="n">
        <x:v>13168.498230188949</x:v>
      </x:c>
      <x:c r="AB934" s="142" t="n">
        <x:v>10982.976849732833</x:v>
      </x:c>
    </x:row>
    <x:row r="935">
      <x:c r="V935" s="141" t="n">
        <x:v>46225</x:v>
      </x:c>
      <x:c r="W935" s="142" t="n">
        <x:v>66556.15</x:v>
      </x:c>
      <x:c r="X935" s="142" t="n">
        <x:v>66739.89</x:v>
      </x:c>
      <x:c r="Y935" s="142" t="n">
        <x:v>65553.67</x:v>
      </x:c>
      <x:c r="Z935" s="142" t="n">
        <x:v>66114.49</x:v>
      </x:c>
      <x:c r="AA935" s="142" t="n">
        <x:v>13168.498230188949</x:v>
      </x:c>
      <x:c r="AB935" s="142" t="n">
        <x:v>10982.976849732833</x:v>
      </x:c>
    </x:row>
    <x:row r="936">
      <x:c r="V936" s="141" t="n">
        <x:v>46226</x:v>
      </x:c>
      <x:c r="W936" s="142" t="n">
        <x:v>66114.5</x:v>
      </x:c>
      <x:c r="X936" s="142" t="n">
        <x:v>66313.14</x:v>
      </x:c>
      <x:c r="Y936" s="142" t="n">
        <x:v>64650</x:v>
      </x:c>
      <x:c r="Z936" s="142" t="n">
        <x:v>65098.97</x:v>
      </x:c>
      <x:c r="AA936" s="142" t="n">
        <x:v>13168.498230188949</x:v>
      </x:c>
      <x:c r="AB936" s="142" t="n">
        <x:v>10982.976849732833</x:v>
      </x:c>
    </x:row>
    <x:row r="937">
      <x:c r="V937" s="141" t="n">
        <x:v>46227</x:v>
      </x:c>
      <x:c r="W937" s="142" t="n">
        <x:v>65098.98</x:v>
      </x:c>
      <x:c r="X937" s="142" t="n">
        <x:v>65808.59</x:v>
      </x:c>
      <x:c r="Y937" s="142" t="n">
        <x:v>63739.75</x:v>
      </x:c>
      <x:c r="Z937" s="142" t="n">
        <x:v>64139.99</x:v>
      </x:c>
      <x:c r="AA937" s="142" t="n">
        <x:v>13168.498230188949</x:v>
      </x:c>
      <x:c r="AB937" s="142" t="n">
        <x:v>10982.976849732833</x:v>
      </x:c>
    </x:row>
    <x:row r="938">
      <x:c r="V938" s="141" t="n">
        <x:v>46228</x:v>
      </x:c>
      <x:c r="W938" s="142" t="n">
        <x:v>64140</x:v>
      </x:c>
      <x:c r="X938" s="142" t="n">
        <x:v>64475.28</x:v>
      </x:c>
      <x:c r="Y938" s="142" t="n">
        <x:v>63810</x:v>
      </x:c>
      <x:c r="Z938" s="142" t="n">
        <x:v>64375</x:v>
      </x:c>
      <x:c r="AA938" s="142" t="n">
        <x:v>13168.498230188949</x:v>
      </x:c>
      <x:c r="AB938" s="142" t="n">
        <x:v>10982.976849732833</x:v>
      </x:c>
    </x:row>
    <x:row r="939">
      <x:c r="V939" s="141" t="n">
        <x:v>46229</x:v>
      </x:c>
      <x:c r="W939" s="142" t="n">
        <x:v>64375.01</x:v>
      </x:c>
      <x:c r="X939" s="142" t="n">
        <x:v>65577</x:v>
      </x:c>
      <x:c r="Y939" s="142" t="n">
        <x:v>64293.81</x:v>
      </x:c>
      <x:c r="Z939" s="142" t="n">
        <x:v>65399.99</x:v>
      </x:c>
      <x:c r="AA939" s="142" t="n">
        <x:v>13317.718399630476</x:v>
      </x:c>
      <x:c r="AB939" s="142" t="n">
        <x:v>11132.19701917436</x:v>
      </x:c>
    </x:row>
    <x:row r="940">
      <x:c r="V940" s="141" t="n">
        <x:v>46230</x:v>
      </x:c>
      <x:c r="W940" s="142" t="n">
        <x:v>65400</x:v>
      </x:c>
      <x:c r="X940" s="142" t="n">
        <x:v>65744.6</x:v>
      </x:c>
      <x:c r="Y940" s="142" t="n">
        <x:v>63605.56</x:v>
      </x:c>
      <x:c r="Z940" s="142" t="n">
        <x:v>63755.86</x:v>
      </x:c>
      <x:c r="AA940" s="142" t="n">
        <x:v>13062.319604352619</x:v>
      </x:c>
      <x:c r="AB940" s="142" t="n">
        <x:v>10876.798223896503</x:v>
      </x:c>
    </x:row>
    <x:row r="941">
      <x:c r="V941" s="141" t="n">
        <x:v>46231</x:v>
      </x:c>
      <x:c r="W941" s="142" t="n">
        <x:v>63755.86</x:v>
      </x:c>
      <x:c r="X941" s="142" t="n">
        <x:v>64100</x:v>
      </x:c>
      <x:c r="Y941" s="142" t="n">
        <x:v>62742.47</x:v>
      </x:c>
      <x:c r="Z941" s="142" t="n">
        <x:v>63915</x:v>
      </x:c>
      <x:c r="AA941" s="142" t="n">
        <x:v>13052.415782978454</x:v>
      </x:c>
      <x:c r="AB941" s="142" t="n">
        <x:v>10901.518996755412</x:v>
      </x:c>
    </x:row>
    <x:row r="942">
      <x:c r="V942" s="141" t="n">
        <x:v>46232</x:v>
      </x:c>
      <x:c r="W942" s="142" t="n">
        <x:v>63915</x:v>
      </x:c>
      <x:c r="X942" s="142" t="n">
        <x:v>64744.81</x:v>
      </x:c>
      <x:c r="Y942" s="142" t="n">
        <x:v>63267.34</x:v>
      </x:c>
      <x:c r="Z942" s="142" t="n">
        <x:v>63984.28</x:v>
      </x:c>
      <x:c r="AA942" s="142" t="n">
        <x:v>13052.415782978454</x:v>
      </x:c>
      <x:c r="AB942" s="142" t="n">
        <x:v>10912.280936831226</x:v>
      </x:c>
    </x:row>
    <x:row r="943">
      <x:c r="V943" s="141" t="n">
        <x:v>46233</x:v>
      </x:c>
      <x:c r="W943" s="142" t="n">
        <x:v>63984.29</x:v>
      </x:c>
      <x:c r="X943" s="142" t="n">
        <x:v>65176.6</x:v>
      </x:c>
      <x:c r="Y943" s="142" t="n">
        <x:v>63603.92</x:v>
      </x:c>
      <x:c r="Z943" s="142" t="n">
        <x:v>64780.02</x:v>
      </x:c>
      <x:c r="AA943" s="142" t="n">
        <x:v>13052.415782978454</x:v>
      </x:c>
      <x:c r="AB943" s="142" t="n">
        <x:v>11035.891014717039</x:v>
      </x:c>
    </x:row>
    <x:row r="944">
      <x:c r="V944" s="141" t="n">
        <x:v>46234</x:v>
      </x:c>
      <x:c r="W944" s="142" t="n">
        <x:v>64780.03</x:v>
      </x:c>
      <x:c r="X944" s="142" t="n">
        <x:v>65409.56</x:v>
      </x:c>
      <x:c r="Y944" s="142" t="n">
        <x:v>62466</x:v>
      </x:c>
      <x:c r="Z944" s="142" t="n">
        <x:v>62887.88</x:v>
      </x:c>
      <x:c r="AA944" s="142" t="n">
        <x:v>12750.327310651412</x:v>
      </x:c>
      <x:c r="AB944" s="142" t="n">
        <x:v>10741.966400181058</x:v>
      </x:c>
    </x:row>
    <x:row r="945">
      <x:c r="V945" s="141" t="n">
        <x:v>46235</x:v>
      </x:c>
      <x:c r="W945" s="142" t="n">
        <x:v>62887.88</x:v>
      </x:c>
      <x:c r="X945" s="142" t="n">
        <x:v>63150</x:v>
      </x:c>
      <x:c r="Y945" s="142" t="n">
        <x:v>62275</x:v>
      </x:c>
      <x:c r="Z945" s="142" t="n">
        <x:v>62823.64</x:v>
      </x:c>
      <x:c r="AA945" s="142" t="n">
        <x:v>12740.619399123738</x:v>
      </x:c>
      <x:c r="AB945" s="142" t="n">
        <x:v>10731.987372604985</x:v>
      </x:c>
    </x:row>
    <x:row r="946">
      <x:c r="V946" s="141" t="n">
        <x:v>46236</x:v>
      </x:c>
      <x:c r="W946" s="142" t="n">
        <x:v>62823.65</x:v>
      </x:c>
      <x:c r="X946" s="142" t="n">
        <x:v>63796.33</x:v>
      </x:c>
      <x:c r="Y946" s="142" t="n">
        <x:v>62806.58</x:v>
      </x:c>
      <x:c r="Z946" s="142" t="n">
        <x:v>63570</x:v>
      </x:c>
      <x:c r="AA946" s="142" t="n">
        <x:v>12740.619399123738</x:v>
      </x:c>
      <x:c r="AB946" s="142" t="n">
        <x:v>10847.926772070708</x:v>
      </x:c>
    </x:row>
    <x:row r="947">
      <x:c r="V947" s="141" t="n">
        <x:v>46237</x:v>
      </x:c>
      <x:c r="W947" s="142" t="n">
        <x:v>63570.01</x:v>
      </x:c>
      <x:c r="X947" s="142" t="n">
        <x:v>64080</x:v>
      </x:c>
      <x:c r="Y947" s="142" t="n">
        <x:v>62300</x:v>
      </x:c>
      <x:c r="Z947" s="142" t="n">
        <x:v>63520</x:v>
      </x:c>
      <x:c r="AA947" s="142" t="n">
        <x:v>12740.619399123738</x:v>
      </x:c>
      <x:c r="AB947" s="142" t="n">
        <x:v>10840.15978298597</x:v>
      </x:c>
    </x:row>
    <x:row r="948">
      <x:c r="V948" s="141" t="n">
        <x:v>46238</x:v>
      </x:c>
      <x:c r="W948" s="142" t="n">
        <x:v>63520</x:v>
      </x:c>
      <x:c r="X948" s="142" t="n">
        <x:v>64549.16</x:v>
      </x:c>
      <x:c r="Y948" s="142" t="n">
        <x:v>63322.01</x:v>
      </x:c>
      <x:c r="Z948" s="142" t="n">
        <x:v>64106.56</x:v>
      </x:c>
      <x:c r="AA948" s="142" t="n">
        <x:v>12740.619399123738</x:v>
      </x:c>
      <x:c r="AB948" s="142" t="n">
        <x:v>10931.275885336865</x:v>
      </x:c>
    </x:row>
    <x:row r="949">
      <x:c r="V949" s="141" t="n">
        <x:v>46239</x:v>
      </x:c>
      <x:c r="W949" s="142" t="n">
        <x:v>64106.55</x:v>
      </x:c>
      <x:c r="X949" s="142" t="n">
        <x:v>65025.22</x:v>
      </x:c>
      <x:c r="Y949" s="142" t="n">
        <x:v>63880</x:v>
      </x:c>
      <x:c r="Z949" s="142" t="n">
        <x:v>64665.23</x:v>
      </x:c>
      <x:c r="AA949" s="142" t="n">
        <x:v>12817.76806021999</x:v>
      </x:c>
      <x:c r="AB949" s="142" t="n">
        <x:v>11018.059561176296</x:v>
      </x:c>
    </x:row>
    <x:row r="950">
      <x:c r="V950" s="141" t="n">
        <x:v>46240</x:v>
      </x:c>
      <x:c r="W950" s="142" t="n">
        <x:v>64665.24</x:v>
      </x:c>
      <x:c r="X950" s="142" t="n">
        <x:v>64999</x:v>
      </x:c>
      <x:c r="Y950" s="142" t="n">
        <x:v>64172</x:v>
      </x:c>
      <x:c r="Z950" s="142" t="n">
        <x:v>64323.61</x:v>
      </x:c>
      <x:c r="AA950" s="142" t="n">
        <x:v>12764.478653755285</x:v>
      </x:c>
      <x:c r="AB950" s="142" t="n">
        <x:v>10964.99238495372</x:v>
      </x:c>
    </x:row>
    <x:row r="951">
      <x:c r="V951" s="141" t="n">
        <x:v>46241</x:v>
      </x:c>
      <x:c r="W951" s="142" t="n">
        <x:v>64323.61</x:v>
      </x:c>
      <x:c r="X951" s="142" t="n">
        <x:v>65390.99</x:v>
      </x:c>
      <x:c r="Y951" s="142" t="n">
        <x:v>64166</x:v>
      </x:c>
      <x:c r="Z951" s="142" t="n">
        <x:v>64923.19</x:v>
      </x:c>
      <x:c r="AA951" s="142" t="n">
        <x:v>12754.444794500652</x:v>
      </x:c>
      <x:c r="AB951" s="142" t="n">
        <x:v>11058.131011262283</x:v>
      </x:c>
    </x:row>
    <x:row r="952">
      <x:c r="V952" s="141" t="n">
        <x:v>46242</x:v>
      </x:c>
      <x:c r="W952" s="142" t="n">
        <x:v>64923.2</x:v>
      </x:c>
      <x:c r="X952" s="142" t="n">
        <x:v>65192.54</x:v>
      </x:c>
      <x:c r="Y952" s="142" t="n">
        <x:v>64784.19</x:v>
      </x:c>
      <x:c r="Z952" s="142" t="n">
        <x:v>64962.6</x:v>
      </x:c>
      <x:c r="AA952" s="142" t="n">
        <x:v>12754.444794500652</x:v>
      </x:c>
      <x:c r="AB952" s="142" t="n">
        <x:v>11064.252952058874</x:v>
      </x:c>
    </x:row>
    <x:row r="953">
      <x:c r="V953" s="141" t="n">
        <x:v>46243</x:v>
      </x:c>
      <x:c r="W953" s="142" t="n">
        <x:v>64962.6</x:v>
      </x:c>
      <x:c r="X953" s="142" t="n">
        <x:v>65474.46</x:v>
      </x:c>
      <x:c r="Y953" s="142" t="n">
        <x:v>64730.08</x:v>
      </x:c>
      <x:c r="Z953" s="142" t="n">
        <x:v>64901.59</x:v>
      </x:c>
      <x:c r="AA953" s="142" t="n">
        <x:v>12754.444794500652</x:v>
      </x:c>
      <x:c r="AB953" s="142" t="n">
        <x:v>11054.775671977675</x:v>
      </x:c>
    </x:row>
    <x:row r="954">
      <x:c r="V954" s="141" t="n">
        <x:v>46244</x:v>
      </x:c>
      <x:c r="W954" s="142" t="n">
        <x:v>64901.59</x:v>
      </x:c>
      <x:c r="X954" s="142" t="n">
        <x:v>65391.14</x:v>
      </x:c>
      <x:c r="Y954" s="142" t="n">
        <x:v>63806.27</x:v>
      </x:c>
      <x:c r="Z954" s="142" t="n">
        <x:v>63970.01</x:v>
      </x:c>
      <x:c r="AA954" s="142" t="n">
        <x:v>12754.444794500652</x:v>
      </x:c>
      <x:c r="AB954" s="142" t="n">
        <x:v>10910.064238146442</x:v>
      </x:c>
    </x:row>
    <x:row r="955">
      <x:c r="V955" s="141" t="n">
        <x:v>46245</x:v>
      </x:c>
      <x:c r="W955" s="142" t="n">
        <x:v>63970.01</x:v>
      </x:c>
      <x:c r="X955" s="142" t="n">
        <x:v>64515.43</x:v>
      </x:c>
      <x:c r="Y955" s="142" t="n">
        <x:v>63238</x:v>
      </x:c>
      <x:c r="Z955" s="142" t="n">
        <x:v>63600</x:v>
      </x:c>
      <x:c r="AA955" s="142" t="n">
        <x:v>12754.444794500652</x:v>
      </x:c>
      <x:c r="AB955" s="142" t="n">
        <x:v>10852.586965521552</x:v>
      </x:c>
    </x:row>
    <x:row r="956">
      <x:c r="V956" s="141" t="n">
        <x:v>46246</x:v>
      </x:c>
      <x:c r="W956" s="142" t="n">
        <x:v>63600.01</x:v>
      </x:c>
      <x:c r="X956" s="142" t="n">
        <x:v>64500</x:v>
      </x:c>
      <x:c r="Y956" s="142" t="n">
        <x:v>63310.34</x:v>
      </x:c>
      <x:c r="Z956" s="142" t="n">
        <x:v>63479.99</x:v>
      </x:c>
      <x:c r="AA956" s="142" t="n">
        <x:v>12754.444794500652</x:v>
      </x:c>
      <x:c r="AB956" s="142" t="n">
        <x:v>10833.944638320361</x:v>
      </x:c>
    </x:row>
    <x:row r="957">
      <x:c r="V957" s="141" t="n">
        <x:v>46247</x:v>
      </x:c>
      <x:c r="W957" s="142" t="n">
        <x:v>63479.99</x:v>
      </x:c>
      <x:c r="X957" s="142" t="n">
        <x:v>64010</x:v>
      </x:c>
      <x:c r="Y957" s="142" t="n">
        <x:v>62802.27</x:v>
      </x:c>
      <x:c r="Z957" s="142" t="n">
        <x:v>63490.86</x:v>
      </x:c>
      <x:c r="AA957" s="142" t="n">
        <x:v>12754.444794500652</x:v>
      </x:c>
      <x:c r="AB957" s="142" t="n">
        <x:v>10835.633181747384</x:v>
      </x:c>
    </x:row>
    <x:row r="958">
      <x:c r="V958" s="141" t="n">
        <x:v>46248</x:v>
      </x:c>
      <x:c r="W958" s="142" t="n">
        <x:v>63490.86</x:v>
      </x:c>
      <x:c r="X958" s="142" t="n">
        <x:v>63617.45</x:v>
      </x:c>
      <x:c r="Y958" s="142" t="n">
        <x:v>62535.24</x:v>
      </x:c>
      <x:c r="Z958" s="142" t="n">
        <x:v>63043.56</x:v>
      </x:c>
      <x:c r="AA958" s="142" t="n">
        <x:v>12754.444794500652</x:v>
      </x:c>
      <x:c r="AB958" s="142" t="n">
        <x:v>10766.149697395304</x:v>
      </x:c>
    </x:row>
    <x:row r="959">
      <x:c r="V959" s="141" t="n">
        <x:v>46249</x:v>
      </x:c>
      <x:c r="W959" s="142" t="n">
        <x:v>63043.56</x:v>
      </x:c>
      <x:c r="X959" s="142" t="n">
        <x:v>63187.98</x:v>
      </x:c>
      <x:c r="Y959" s="142" t="n">
        <x:v>62920</x:v>
      </x:c>
      <x:c r="Z959" s="142" t="n">
        <x:v>63086.01</x:v>
      </x:c>
      <x:c r="AA959" s="142" t="n">
        <x:v>12754.444794500652</x:v>
      </x:c>
      <x:c r="AB959" s="142" t="n">
        <x:v>10772.743871128247</x:v>
      </x:c>
    </x:row>
    <x:row r="960">
      <x:c r="V960" s="141" t="n">
        <x:v>46250</x:v>
      </x:c>
      <x:c r="W960" s="142" t="n">
        <x:v>63086.01</x:v>
      </x:c>
      <x:c r="X960" s="142" t="n">
        <x:v>63390</x:v>
      </x:c>
      <x:c r="Y960" s="142" t="n">
        <x:v>62716</x:v>
      </x:c>
      <x:c r="Z960" s="142" t="n">
        <x:v>62900</x:v>
      </x:c>
      <x:c r="AA960" s="142" t="n">
        <x:v>12754.444794500652</x:v>
      </x:c>
      <x:c r="AB960" s="142" t="n">
        <x:v>10743.8491183352</x:v>
      </x:c>
    </x:row>
    <x:row r="961">
      <x:c r="V961" s="141" t="n">
        <x:v>46251</x:v>
      </x:c>
      <x:c r="W961" s="142" t="n">
        <x:v>62900</x:v>
      </x:c>
      <x:c r="X961" s="142" t="n">
        <x:v>64610.01</x:v>
      </x:c>
      <x:c r="Y961" s="142" t="n">
        <x:v>62751.1</x:v>
      </x:c>
      <x:c r="Z961" s="142" t="n">
        <x:v>64532.1</x:v>
      </x:c>
      <x:c r="AA961" s="142" t="n">
        <x:v>12754.444794500652</x:v>
      </x:c>
      <x:c r="AB961" s="142" t="n">
        <x:v>10997.379176039267</x:v>
      </x:c>
    </x:row>
    <x:row r="962">
      <x:c r="V962" s="141" t="n">
        <x:v>46252</x:v>
      </x:c>
      <x:c r="W962" s="142" t="n">
        <x:v>64532.11</x:v>
      </x:c>
      <x:c r="X962" s="142" t="n">
        <x:v>65058.81</x:v>
      </x:c>
      <x:c r="Y962" s="142" t="n">
        <x:v>64027.85</x:v>
      </x:c>
      <x:c r="Z962" s="142" t="n">
        <x:v>64725.42</x:v>
      </x:c>
      <x:c r="AA962" s="142" t="n">
        <x:v>12774.400424341362</x:v>
      </x:c>
      <x:c r="AB962" s="142" t="n">
        <x:v>11027.409462636504</x:v>
      </x:c>
    </x:row>
    <x:row r="963">
      <x:c r="V963" s="141" t="n">
        <x:v>46253</x:v>
      </x:c>
      <x:c r="W963" s="142" t="n">
        <x:v>64725.42</x:v>
      </x:c>
      <x:c r="X963" s="142" t="n">
        <x:v>70000</x:v>
      </x:c>
      <x:c r="Y963" s="142" t="n">
        <x:v>64166</x:v>
      </x:c>
      <x:c r="Z963" s="142" t="n">
        <x:v>69334.79</x:v>
      </x:c>
      <x:c r="AA963" s="142" t="n">
        <x:v>13488.67584474835</x:v>
      </x:c>
      <x:c r="AB963" s="142" t="n">
        <x:v>11743.427992187024</x:v>
      </x:c>
    </x:row>
    <x:row r="964">
      <x:c r="V964" s="141" t="n">
        <x:v>46254</x:v>
      </x:c>
      <x:c r="W964" s="142" t="n">
        <x:v>69334.78</x:v>
      </x:c>
      <x:c r="X964" s="142" t="n">
        <x:v>73400</x:v>
      </x:c>
      <x:c r="Y964" s="142" t="n">
        <x:v>68902.22</x:v>
      </x:c>
      <x:c r="Z964" s="142" t="n">
        <x:v>73025.15</x:v>
      </x:c>
      <x:c r="AA964" s="142" t="n">
        <x:v>14060.539991139967</x:v>
      </x:c>
      <x:c r="AB964" s="142" t="n">
        <x:v>12316.687708962214</x:v>
      </x:c>
    </x:row>
    <x:row r="965">
      <x:c r="V965" s="141" t="n">
        <x:v>46255</x:v>
      </x:c>
      <x:c r="W965" s="142" t="n">
        <x:v>73027.02</x:v>
      </x:c>
      <x:c r="X965" s="142" t="n">
        <x:v>79500</x:v>
      </x:c>
      <x:c r="Y965" s="142" t="n">
        <x:v>73027.02</x:v>
      </x:c>
      <x:c r="Z965" s="142" t="n">
        <x:v>78338.03</x:v>
      </x:c>
      <x:c r="AA965" s="142" t="n">
        <x:v>14883.832457479593</x:v>
      </x:c>
      <x:c r="AB965" s="142" t="n">
        <x:v>13141.989328332837</x:v>
      </x:c>
    </x:row>
    <x:row r="966">
      <x:c r="V966" s="141" t="n">
        <x:v>46256</x:v>
      </x:c>
      <x:c r="W966" s="142" t="n">
        <x:v>78338.03</x:v>
      </x:c>
      <x:c r="X966" s="142" t="n">
        <x:v>78828.15</x:v>
      </x:c>
      <x:c r="Y966" s="142" t="n">
        <x:v>76500</x:v>
      </x:c>
      <x:c r="Z966" s="142" t="n">
        <x:v>77074.93</x:v>
      </x:c>
      <x:c r="AA966" s="142" t="n">
        <x:v>14688.100441278666</x:v>
      </x:c>
      <x:c r="AB966" s="142" t="n">
        <x:v>12945.779650074144</x:v>
      </x:c>
    </x:row>
    <x:row r="967">
      <x:c r="V967" s="141" t="n">
        <x:v>46257</x:v>
      </x:c>
      <x:c r="W967" s="142" t="n">
        <x:v>77074.94</x:v>
      </x:c>
      <x:c r="X967" s="142" t="n">
        <x:v>78052.85</x:v>
      </x:c>
      <x:c r="Y967" s="142" t="n">
        <x:v>75545.67</x:v>
      </x:c>
      <x:c r="Z967" s="142" t="n">
        <x:v>77734</x:v>
      </x:c>
      <x:c r="AA967" s="142" t="n">
        <x:v>14790.230993030345</x:v>
      </x:c>
      <x:c r="AB967" s="142" t="n">
        <x:v>13048.159439995732</x:v>
      </x:c>
    </x:row>
    <x:row r="968">
      <x:c r="V968" s="141" t="n">
        <x:v>46258</x:v>
      </x:c>
      <x:c r="W968" s="142" t="n">
        <x:v>77734</x:v>
      </x:c>
      <x:c r="X968" s="142" t="n">
        <x:v>80000</x:v>
      </x:c>
      <x:c r="Y968" s="142" t="n">
        <x:v>76670.01</x:v>
      </x:c>
      <x:c r="Z968" s="142" t="n">
        <x:v>78992.75</x:v>
      </x:c>
      <x:c r="AA968" s="142" t="n">
        <x:v>14985.288926205008</x:v>
      </x:c>
      <x:c r="AB968" s="142" t="n">
        <x:v>13243.69339020405</x:v>
      </x:c>
    </x:row>
    <x:row r="969">
      <x:c r="V969" s="141" t="n">
        <x:v>46259</x:v>
      </x:c>
      <x:c r="W969" s="142" t="n">
        <x:v>78992.76</x:v>
      </x:c>
      <x:c r="X969" s="142" t="n">
        <x:v>81272.62</x:v>
      </x:c>
      <x:c r="Y969" s="142" t="n">
        <x:v>77851</x:v>
      </x:c>
      <x:c r="Z969" s="142" t="n">
        <x:v>78539.14</x:v>
      </x:c>
      <x:c r="AA969" s="142" t="n">
        <x:v>14914.996787919123</x:v>
      </x:c>
      <x:c r="AB969" s="142" t="n">
        <x:v>13173.229711829475</x:v>
      </x:c>
    </x:row>
    <x:row r="970">
      <x:c r="V970" s="141" t="n">
        <x:v>46260</x:v>
      </x:c>
      <x:c r="W970" s="142" t="n">
        <x:v>78539.13</x:v>
      </x:c>
      <x:c r="X970" s="142" t="n">
        <x:v>79251.6</x:v>
      </x:c>
      <x:c r="Y970" s="142" t="n">
        <x:v>77632.58</x:v>
      </x:c>
      <x:c r="Z970" s="142" t="n">
        <x:v>79023.75</x:v>
      </x:c>
      <x:c r="AA970" s="142" t="n">
        <x:v>14990.092736277235</x:v>
      </x:c>
      <x:c r="AB970" s="142" t="n">
        <x:v>13248.508923436588</x:v>
      </x:c>
    </x:row>
    <x:row r="971">
      <x:c r="V971" s="141" t="n">
        <x:v>46261</x:v>
      </x:c>
      <x:c r="W971" s="142" t="n">
        <x:v>79023.75</x:v>
      </x:c>
      <x:c r="X971" s="142" t="n">
        <x:v>80848.74</x:v>
      </x:c>
      <x:c r="Y971" s="142" t="n">
        <x:v>78546.13</x:v>
      </x:c>
      <x:c r="Z971" s="142" t="n">
        <x:v>80249.58</x:v>
      </x:c>
      <x:c r="AA971" s="142" t="n">
        <x:v>15180.049333078423</x:v>
      </x:c>
      <x:c r="AB971" s="142" t="n">
        <x:v>13438.929088031515</x:v>
      </x:c>
    </x:row>
    <x:row r="972">
      <x:c r="V972" s="141" t="n">
        <x:v>46262</x:v>
      </x:c>
      <x:c r="W972" s="142" t="n">
        <x:v>80249.59</x:v>
      </x:c>
      <x:c r="X972" s="142" t="n">
        <x:v>81478.87</x:v>
      </x:c>
      <x:c r="Y972" s="142" t="n">
        <x:v>76888</x:v>
      </x:c>
      <x:c r="Z972" s="142" t="n">
        <x:v>77845.87</x:v>
      </x:c>
      <x:c r="AA972" s="142" t="n">
        <x:v>14807.566548926472</x:v>
      </x:c>
      <x:c r="AB972" s="142" t="n">
        <x:v>13065.537301373926</x:v>
      </x:c>
    </x:row>
    <x:row r="973">
      <x:c r="V973" s="141" t="n">
        <x:v>46263</x:v>
      </x:c>
      <x:c r="W973" s="142" t="n">
        <x:v>77845.88</x:v>
      </x:c>
      <x:c r="X973" s="142" t="n">
        <x:v>78330</x:v>
      </x:c>
      <x:c r="Y973" s="142" t="n">
        <x:v>77382.37</x:v>
      </x:c>
      <x:c r="Z973" s="142" t="n">
        <x:v>78230</x:v>
      </x:c>
      <x:c r="AA973" s="142" t="n">
        <x:v>14867.091954185962</x:v>
      </x:c>
      <x:c r="AB973" s="142" t="n">
        <x:v>13125.207971716347</x:v>
      </x:c>
    </x:row>
    <x:row r="974">
      <x:c r="V974" s="141" t="n">
        <x:v>46264</x:v>
      </x:c>
      <x:c r="W974" s="142" t="n">
        <x:v>78230</x:v>
      </x:c>
      <x:c r="X974" s="142" t="n">
        <x:v>79400</x:v>
      </x:c>
      <x:c r="Y974" s="142" t="n">
        <x:v>77000</x:v>
      </x:c>
      <x:c r="Z974" s="142" t="n">
        <x:v>77682</x:v>
      </x:c>
      <x:c r="AA974" s="142" t="n">
        <x:v>14782.172989038225</x:v>
      </x:c>
      <x:c r="AB974" s="142" t="n">
        <x:v>13040.081771347603</x:v>
      </x:c>
    </x:row>
    <x:row r="975">
      <x:c r="V975" s="141" t="n">
        <x:v>46265</x:v>
      </x:c>
      <x:c r="W975" s="142" t="n">
        <x:v>77682</x:v>
      </x:c>
      <x:c r="X975" s="142" t="n">
        <x:v>79250</x:v>
      </x:c>
      <x:c r="Y975" s="142" t="n">
        <x:v>77392</x:v>
      </x:c>
      <x:c r="Z975" s="142" t="n">
        <x:v>78581.29</x:v>
      </x:c>
      <x:c r="AA975" s="142" t="n">
        <x:v>14921.528420001196</x:v>
      </x:c>
      <x:c r="AB975" s="142" t="n">
        <x:v>13179.777283627911</x:v>
      </x:c>
    </x:row>
    <x:row r="976">
      <x:c r="V976" s="141" t="n">
        <x:v>46266</x:v>
      </x:c>
      <x:c r="W976" s="142" t="n">
        <x:v>78581.3</x:v>
      </x:c>
      <x:c r="X976" s="142" t="n">
        <x:v>79220.61</x:v>
      </x:c>
      <x:c r="Y976" s="142" t="n">
        <x:v>76420</x:v>
      </x:c>
      <x:c r="Z976" s="142" t="n">
        <x:v>77439</x:v>
      </x:c>
      <x:c r="AA976" s="142" t="n">
        <x:v>14744.517316536581</x:v>
      </x:c>
      <x:c r="AB976" s="142" t="n">
        <x:v>13002.334204395767</x:v>
      </x:c>
    </x:row>
    <x:row r="977">
      <x:c r="V977" s="141" t="n">
        <x:v>46267</x:v>
      </x:c>
      <x:c r="W977" s="142" t="n">
        <x:v>77439.01</x:v>
      </x:c>
      <x:c r="X977" s="142" t="n">
        <x:v>77792</x:v>
      </x:c>
      <x:c r="Y977" s="142" t="n">
        <x:v>76264</x:v>
      </x:c>
      <x:c r="Z977" s="142" t="n">
        <x:v>77340.01</x:v>
      </x:c>
      <x:c r="AA977" s="142" t="n">
        <x:v>14729.177666244655</x:v>
      </x:c>
      <x:c r="AB977" s="142" t="n">
        <x:v>12986.957119405799</x:v>
      </x:c>
    </x:row>
    <x:row r="978">
      <x:c r="V978" s="141" t="n">
        <x:v>46268</x:v>
      </x:c>
      <x:c r="W978" s="142" t="n">
        <x:v>77340.01</x:v>
      </x:c>
      <x:c r="X978" s="142" t="n">
        <x:v>82300</x:v>
      </x:c>
      <x:c r="Y978" s="142" t="n">
        <x:v>76968</x:v>
      </x:c>
      <x:c r="Z978" s="142" t="n">
        <x:v>81270.37</x:v>
      </x:c>
      <x:c r="AA978" s="142" t="n">
        <x:v>15338.232600292218</x:v>
      </x:c>
      <x:c r="AB978" s="142" t="n">
        <x:v>13597.498383787739</x:v>
      </x:c>
    </x:row>
    <x:row r="979">
      <x:c r="V979" s="141" t="n">
        <x:v>46269</x:v>
      </x:c>
      <x:c r="W979" s="142" t="n">
        <x:v>81270.37</x:v>
      </x:c>
      <x:c r="X979" s="142" t="n">
        <x:v>81427.75</x:v>
      </x:c>
      <x:c r="Y979" s="142" t="n">
        <x:v>78660</x:v>
      </x:c>
      <x:c r="Z979" s="142" t="n">
        <x:v>79660.77</x:v>
      </x:c>
      <x:c r="AA979" s="142" t="n">
        <x:v>15088.806384413023</x:v>
      </x:c>
      <x:c r="AB979" s="142" t="n">
        <x:v>13347.463471171804</x:v>
      </x:c>
    </x:row>
    <x:row r="980">
      <x:c r="V980" s="141" t="n">
        <x:v>46270</x:v>
      </x:c>
      <x:c r="W980" s="142" t="n">
        <x:v>79660.77</x:v>
      </x:c>
      <x:c r="X980" s="142" t="n">
        <x:v>80200</x:v>
      </x:c>
      <x:c r="Y980" s="142" t="n">
        <x:v>79442</x:v>
      </x:c>
      <x:c r="Z980" s="142" t="n">
        <x:v>79831.75</x:v>
      </x:c>
      <x:c r="AA980" s="142" t="n">
        <x:v>15115.301721385578</x:v>
      </x:c>
      <x:c r="AB980" s="142" t="n">
        <x:v>13374.02346704598</x:v>
      </x:c>
    </x:row>
    <x:row r="981">
      <x:c r="V981" s="141" t="n">
        <x:v>46271</x:v>
      </x:c>
      <x:c r="W981" s="142" t="n">
        <x:v>79831.75</x:v>
      </x:c>
      <x:c r="X981" s="142" t="n">
        <x:v>80559.99</x:v>
      </x:c>
      <x:c r="Y981" s="142" t="n">
        <x:v>79233</x:v>
      </x:c>
      <x:c r="Z981" s="142" t="n">
        <x:v>80341.83</x:v>
      </x:c>
      <x:c r="AA981" s="142" t="n">
        <x:v>15194.344542083678</x:v>
      </x:c>
      <x:c r="AB981" s="142" t="n">
        <x:v>13453.25918289286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22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16" hidden="0" customWidth="1"/>
  </x:cols>
  <x:sheetData>
    <x:row r="2">
      <x:c r="A2" s="119" t="str">
        <x:v>大行情复盘</x:v>
      </x:c>
    </x:row>
    <x:row r="3">
      <x:c r="A3" t="str">
        <x:v>季度涨跌幅绝对值≥20%标注；上涨≥50%加重。完整季度不是精确波段，*为截至9月6日。</x:v>
      </x:c>
    </x:row>
    <x:row r="4">
      <x:c r="A4" t="str">
        <x:v>策略列=该季度净值变化÷初始资金，含浮盈；不是季度起点资金收益率，也不是整笔交易收益。</x:v>
      </x:c>
    </x:row>
    <x:row r="6" ht="34" customHeight="1">
      <x:c r="A6" s="123" t="str">
        <x:v>季度</x:v>
      </x:c>
      <x:c r="B6" s="123" t="str">
        <x:v>开始UTC</x:v>
      </x:c>
      <x:c r="C6" s="123" t="str">
        <x:v>结束UTC</x:v>
      </x:c>
      <x:c r="D6" s="123" t="str">
        <x:v>BTC开盘</x:v>
      </x:c>
      <x:c r="E6" s="123" t="str">
        <x:v>BTC收盘</x:v>
      </x:c>
      <x:c r="F6" s="123" t="str">
        <x:v>BTC涨跌幅</x:v>
      </x:c>
      <x:c r="G6" s="123" t="str">
        <x:v>行情标注</x:v>
      </x:c>
      <x:c r="H6" s="123" t="str">
        <x:v>原EMA21多空</x:v>
      </x:c>
      <x:c r="I6" s="123" t="str">
        <x:v>EMA25原退出</x:v>
      </x:c>
      <x:c r="J6" s="123" t="str">
        <x:v>EMA252ATR低于</x:v>
      </x:c>
      <x:c r="K6" s="123" t="str">
        <x:v>状态补入原退出</x:v>
      </x:c>
      <x:c r="L6" s="123" t="str">
        <x:v>状态补入2ATR低于</x:v>
      </x:c>
    </x:row>
    <x:row r="7" ht="23" customHeight="1">
      <x:c r="A7" s="120" t="str">
        <x:v>2024Q1</x:v>
      </x:c>
      <x:c r="B7" s="124" t="n">
        <x:v>45292</x:v>
      </x:c>
      <x:c r="C7" s="124" t="n">
        <x:v>45382</x:v>
      </x:c>
      <x:c r="D7" s="125" t="n">
        <x:v>42283.58</x:v>
      </x:c>
      <x:c r="E7" s="125" t="n">
        <x:v>71280.01</x:v>
      </x:c>
      <x:c r="F7" s="126" t="n">
        <x:f>E7/D7-1</x:f>
        <x:v>0.6857609975314292</x:v>
      </x:c>
      <x:c r="G7" s="120" t="str">
        <x:f>IF(F7&gt;='Data &amp; Targets'!$C$30,IF(F7&gt;='Data &amp; Targets'!$C$32,"特大上涨","大上涨"),IF(F7&lt;=-'Data &amp; Targets'!$C$30,"大下跌","未达阈值"))</x:f>
        <x:v>特大上涨</x:v>
      </x:c>
      <x:c r="H7" s="126" t="n">
        <x:v>-0.016791308400562775</x:v>
      </x:c>
      <x:c r="I7" s="126" t="n">
        <x:v>0.04969979574151202</x:v>
      </x:c>
      <x:c r="J7" s="126" t="n">
        <x:v>0.04969979574151202</x:v>
      </x:c>
      <x:c r="K7" s="126" t="n">
        <x:v>0.6062300539350974</x:v>
      </x:c>
      <x:c r="L7" s="126" t="n">
        <x:v>0.6062300539350974</x:v>
      </x:c>
    </x:row>
    <x:row r="8" ht="23" customHeight="1">
      <x:c r="A8" s="120" t="str">
        <x:v>2024Q2</x:v>
      </x:c>
      <x:c r="B8" s="124" t="n">
        <x:v>45383</x:v>
      </x:c>
      <x:c r="C8" s="124" t="n">
        <x:v>45473</x:v>
      </x:c>
      <x:c r="D8" s="125" t="n">
        <x:v>71280</x:v>
      </x:c>
      <x:c r="E8" s="125" t="n">
        <x:v>62772.01</x:v>
      </x:c>
      <x:c r="F8" s="126" t="n">
        <x:f>E8/D8-1</x:f>
        <x:v>-0.11936012906846238</x:v>
      </x:c>
      <x:c r="G8" s="120" t="str">
        <x:f>IF(F8&gt;='Data &amp; Targets'!$C$30,IF(F8&gt;='Data &amp; Targets'!$C$32,"特大上涨","大上涨"),IF(F8&lt;=-'Data &amp; Targets'!$C$30,"大下跌","未达阈值"))</x:f>
        <x:v>未达阈值</x:v>
      </x:c>
      <x:c r="H8" s="126" t="n">
        <x:v>-0.23420428916573438</x:v>
      </x:c>
      <x:c r="I8" s="126" t="n">
        <x:v>-0.15695521649323674</x:v>
      </x:c>
      <x:c r="J8" s="126" t="n">
        <x:v>-0.16283785749841792</x:v>
      </x:c>
      <x:c r="K8" s="126" t="n">
        <x:v>-0.27533457239899234</x:v>
      </x:c>
      <x:c r="L8" s="126" t="n">
        <x:v>-0.2490891304543895</x:v>
      </x:c>
    </x:row>
    <x:row r="9" ht="23" customHeight="1">
      <x:c r="A9" s="120" t="str">
        <x:v>2024Q3</x:v>
      </x:c>
      <x:c r="B9" s="124" t="n">
        <x:v>45474</x:v>
      </x:c>
      <x:c r="C9" s="124" t="n">
        <x:v>45565</x:v>
      </x:c>
      <x:c r="D9" s="125" t="n">
        <x:v>62772.01</x:v>
      </x:c>
      <x:c r="E9" s="125" t="n">
        <x:v>63327.59</x:v>
      </x:c>
      <x:c r="F9" s="126" t="n">
        <x:f>E9/D9-1</x:f>
        <x:v>0.008850760076027475</x:v>
      </x:c>
      <x:c r="G9" s="120" t="str">
        <x:f>IF(F9&gt;='Data &amp; Targets'!$C$30,IF(F9&gt;='Data &amp; Targets'!$C$32,"特大上涨","大上涨"),IF(F9&lt;=-'Data &amp; Targets'!$C$30,"大下跌","未达阈值"))</x:f>
        <x:v>未达阈值</x:v>
      </x:c>
      <x:c r="H9" s="126" t="n">
        <x:v>-0.09904770973227878</x:v>
      </x:c>
      <x:c r="I9" s="126" t="n">
        <x:v>-0.06093783305143279</x:v>
      </x:c>
      <x:c r="J9" s="126" t="n">
        <x:v>-0.11195233315410433</x:v>
      </x:c>
      <x:c r="K9" s="126" t="n">
        <x:v>-0.07418576642196967</x:v>
      </x:c>
      <x:c r="L9" s="126" t="n">
        <x:v>-0.1247499902147385</x:v>
      </x:c>
    </x:row>
    <x:row r="10" ht="23" customHeight="1">
      <x:c r="A10" s="120" t="str">
        <x:v>2024Q4</x:v>
      </x:c>
      <x:c r="B10" s="124" t="n">
        <x:v>45566</x:v>
      </x:c>
      <x:c r="C10" s="124" t="n">
        <x:v>45657</x:v>
      </x:c>
      <x:c r="D10" s="125" t="n">
        <x:v>63327.6</x:v>
      </x:c>
      <x:c r="E10" s="125" t="n">
        <x:v>93576</x:v>
      </x:c>
      <x:c r="F10" s="126" t="n">
        <x:f>E10/D10-1</x:f>
        <x:v>0.4776495556439846</x:v>
      </x:c>
      <x:c r="G10" s="120" t="str">
        <x:f>IF(F10&gt;='Data &amp; Targets'!$C$30,IF(F10&gt;='Data &amp; Targets'!$C$32,"特大上涨","大上涨"),IF(F10&lt;=-'Data &amp; Targets'!$C$30,"大下跌","未达阈值"))</x:f>
        <x:v>大上涨</x:v>
      </x:c>
      <x:c r="H10" s="126" t="n">
        <x:v>0.45852894228588503</x:v>
      </x:c>
      <x:c r="I10" s="126" t="n">
        <x:v>0.4699274479400636</x:v>
      </x:c>
      <x:c r="J10" s="126" t="n">
        <x:v>0.5061996907515381</x:v>
      </x:c>
      <x:c r="K10" s="126" t="n">
        <x:v>0.42929320279278455</x:v>
      </x:c>
      <x:c r="L10" s="126" t="n">
        <x:v>0.47576281764538997</x:v>
      </x:c>
    </x:row>
    <x:row r="11" ht="23" customHeight="1">
      <x:c r="A11" s="120" t="str">
        <x:v>2025Q1</x:v>
      </x:c>
      <x:c r="B11" s="124" t="n">
        <x:v>45658</x:v>
      </x:c>
      <x:c r="C11" s="124" t="n">
        <x:v>45747</x:v>
      </x:c>
      <x:c r="D11" s="125" t="n">
        <x:v>93576</x:v>
      </x:c>
      <x:c r="E11" s="125" t="n">
        <x:v>82550.01</x:v>
      </x:c>
      <x:c r="F11" s="126" t="n">
        <x:f>E11/D11-1</x:f>
        <x:v>-0.11782925109002318</x:v>
      </x:c>
      <x:c r="G11" s="120" t="str">
        <x:f>IF(F11&gt;='Data &amp; Targets'!$C$30,IF(F11&gt;='Data &amp; Targets'!$C$32,"特大上涨","大上涨"),IF(F11&lt;=-'Data &amp; Targets'!$C$30,"大下跌","未达阈值"))</x:f>
        <x:v>未达阈值</x:v>
      </x:c>
      <x:c r="H11" s="126" t="n">
        <x:v>0.010814185628746054</x:v>
      </x:c>
      <x:c r="I11" s="126" t="n">
        <x:v>-0.04520511142366668</x:v>
      </x:c>
      <x:c r="J11" s="126" t="n">
        <x:v>-0.0802804237670327</x:v>
      </x:c>
      <x:c r="K11" s="126" t="n">
        <x:v>-0.04520511142366631</x:v>
      </x:c>
      <x:c r="L11" s="126" t="n">
        <x:v>-0.07839552690238089</x:v>
      </x:c>
    </x:row>
    <x:row r="12" ht="23" customHeight="1">
      <x:c r="A12" s="120" t="str">
        <x:v>2025Q2</x:v>
      </x:c>
      <x:c r="B12" s="124" t="n">
        <x:v>45748</x:v>
      </x:c>
      <x:c r="C12" s="124" t="n">
        <x:v>45838</x:v>
      </x:c>
      <x:c r="D12" s="125" t="n">
        <x:v>82550</x:v>
      </x:c>
      <x:c r="E12" s="125" t="n">
        <x:v>107146.5</x:v>
      </x:c>
      <x:c r="F12" s="126" t="n">
        <x:f>E12/D12-1</x:f>
        <x:v>0.2979588128407027</x:v>
      </x:c>
      <x:c r="G12" s="120" t="str">
        <x:f>IF(F12&gt;='Data &amp; Targets'!$C$30,IF(F12&gt;='Data &amp; Targets'!$C$32,"特大上涨","大上涨"),IF(F12&lt;=-'Data &amp; Targets'!$C$30,"大下跌","未达阈值"))</x:f>
        <x:v>大上涨</x:v>
      </x:c>
      <x:c r="H12" s="126" t="n">
        <x:v>-0.07911007702337793</x:v>
      </x:c>
      <x:c r="I12" s="126" t="n">
        <x:v>-0.00940200101784194</x:v>
      </x:c>
      <x:c r="J12" s="126" t="n">
        <x:v>0.02342464940873033</x:v>
      </x:c>
      <x:c r="K12" s="126" t="n">
        <x:v>-0.00940200101784194</x:v>
      </x:c>
      <x:c r="L12" s="126" t="n">
        <x:v>0.02342464940873033</x:v>
      </x:c>
    </x:row>
    <x:row r="13" ht="23" customHeight="1">
      <x:c r="A13" s="120" t="str">
        <x:v>2025Q3</x:v>
      </x:c>
      <x:c r="B13" s="124" t="n">
        <x:v>45839</x:v>
      </x:c>
      <x:c r="C13" s="124" t="n">
        <x:v>45930</x:v>
      </x:c>
      <x:c r="D13" s="125" t="n">
        <x:v>107146.51</x:v>
      </x:c>
      <x:c r="E13" s="125" t="n">
        <x:v>114048.93</x:v>
      </x:c>
      <x:c r="F13" s="126" t="n">
        <x:f>E13/D13-1</x:f>
        <x:v>0.0644203903608247</x:v>
      </x:c>
      <x:c r="G13" s="120" t="str">
        <x:f>IF(F13&gt;='Data &amp; Targets'!$C$30,IF(F13&gt;='Data &amp; Targets'!$C$32,"特大上涨","大上涨"),IF(F13&lt;=-'Data &amp; Targets'!$C$30,"大下跌","未达阈值"))</x:f>
        <x:v>未达阈值</x:v>
      </x:c>
      <x:c r="H13" s="126" t="n">
        <x:v>0.01858310236332618</x:v>
      </x:c>
      <x:c r="I13" s="126" t="n">
        <x:v>0.01858310236332618</x:v>
      </x:c>
      <x:c r="J13" s="126" t="n">
        <x:v>0.06599393757909311</x:v>
      </x:c>
      <x:c r="K13" s="126" t="n">
        <x:v>-0.02115486846577569</x:v>
      </x:c>
      <x:c r="L13" s="126" t="n">
        <x:v>0.06599393757909311</x:v>
      </x:c>
    </x:row>
    <x:row r="14" ht="23" customHeight="1">
      <x:c r="A14" s="120" t="str">
        <x:v>2025Q4</x:v>
      </x:c>
      <x:c r="B14" s="124" t="n">
        <x:v>45931</x:v>
      </x:c>
      <x:c r="C14" s="124" t="n">
        <x:v>46022</x:v>
      </x:c>
      <x:c r="D14" s="125" t="n">
        <x:v>114048.94</x:v>
      </x:c>
      <x:c r="E14" s="125" t="n">
        <x:v>87648.22</x:v>
      </x:c>
      <x:c r="F14" s="126" t="n">
        <x:f>E14/D14-1</x:f>
        <x:v>-0.23148588667286163</x:v>
      </x:c>
      <x:c r="G14" s="120" t="str">
        <x:f>IF(F14&gt;='Data &amp; Targets'!$C$30,IF(F14&gt;='Data &amp; Targets'!$C$32,"特大上涨","大上涨"),IF(F14&lt;=-'Data &amp; Targets'!$C$30,"大下跌","未达阈值"))</x:f>
        <x:v>大下跌</x:v>
      </x:c>
      <x:c r="H14" s="126" t="n">
        <x:v>0.03497427597520291</x:v>
      </x:c>
      <x:c r="I14" s="126" t="n">
        <x:v>-0.012135338845091975</x:v>
      </x:c>
      <x:c r="J14" s="126" t="n">
        <x:v>-0.12097686005835258</x:v>
      </x:c>
      <x:c r="K14" s="126" t="n">
        <x:v>-0.012135338845091975</x:v>
      </x:c>
      <x:c r="L14" s="126" t="n">
        <x:v>-0.12097686005835258</x:v>
      </x:c>
    </x:row>
    <x:row r="15" ht="23" customHeight="1">
      <x:c r="A15" s="120" t="str">
        <x:v>2026Q1</x:v>
      </x:c>
      <x:c r="B15" s="124" t="n">
        <x:v>46023</x:v>
      </x:c>
      <x:c r="C15" s="124" t="n">
        <x:v>46112</x:v>
      </x:c>
      <x:c r="D15" s="125" t="n">
        <x:v>87648.21</x:v>
      </x:c>
      <x:c r="E15" s="125" t="n">
        <x:v>68284.48</x:v>
      </x:c>
      <x:c r="F15" s="126" t="n">
        <x:f>E15/D15-1</x:f>
        <x:v>-0.22092556140051245</x:v>
      </x:c>
      <x:c r="G15" s="120" t="str">
        <x:f>IF(F15&gt;='Data &amp; Targets'!$C$30,IF(F15&gt;='Data &amp; Targets'!$C$32,"特大上涨","大上涨"),IF(F15&lt;=-'Data &amp; Targets'!$C$30,"大下跌","未达阈值"))</x:f>
        <x:v>大下跌</x:v>
      </x:c>
      <x:c r="H15" s="126" t="n">
        <x:v>-0.14384123074482358</x:v>
      </x:c>
      <x:c r="I15" s="126" t="n">
        <x:v>-0.03797787718888758</x:v>
      </x:c>
      <x:c r="J15" s="126" t="n">
        <x:v>-0.07097291402968275</x:v>
      </x:c>
      <x:c r="K15" s="126" t="n">
        <x:v>-0.0689721606593952</x:v>
      </x:c>
      <x:c r="L15" s="126" t="n">
        <x:v>-0.1211777220574786</x:v>
      </x:c>
    </x:row>
    <x:row r="16" ht="23" customHeight="1">
      <x:c r="A16" s="120" t="str">
        <x:v>2026Q2</x:v>
      </x:c>
      <x:c r="B16" s="124" t="n">
        <x:v>46113</x:v>
      </x:c>
      <x:c r="C16" s="124" t="n">
        <x:v>46203</x:v>
      </x:c>
      <x:c r="D16" s="125" t="n">
        <x:v>68284.49</x:v>
      </x:c>
      <x:c r="E16" s="125" t="n">
        <x:v>58624.71</x:v>
      </x:c>
      <x:c r="F16" s="126" t="n">
        <x:f>E16/D16-1</x:f>
        <x:v>-0.1414637496743405</x:v>
      </x:c>
      <x:c r="G16" s="120" t="str">
        <x:f>IF(F16&gt;='Data &amp; Targets'!$C$30,IF(F16&gt;='Data &amp; Targets'!$C$32,"特大上涨","大上涨"),IF(F16&lt;=-'Data &amp; Targets'!$C$30,"大下跌","未达阈值"))</x:f>
        <x:v>未达阈值</x:v>
      </x:c>
      <x:c r="H16" s="126" t="n">
        <x:v>-0.05307684383285523</x:v>
      </x:c>
      <x:c r="I16" s="126" t="n">
        <x:v>0.10125285499415076</x:v>
      </x:c>
      <x:c r="J16" s="126" t="n">
        <x:v>0</x:v>
      </x:c>
      <x:c r="K16" s="126" t="n">
        <x:v>0.10076951796262419</x:v>
      </x:c>
      <x:c r="L16" s="126" t="n">
        <x:v>-0.024351521210199643</x:v>
      </x:c>
    </x:row>
    <x:row r="17" ht="23" customHeight="1">
      <x:c r="A17" s="120" t="str">
        <x:v>2026Q3*</x:v>
      </x:c>
      <x:c r="B17" s="124" t="n">
        <x:v>46204</x:v>
      </x:c>
      <x:c r="C17" s="124" t="n">
        <x:v>46271</x:v>
      </x:c>
      <x:c r="D17" s="125" t="n">
        <x:v>58624.71</x:v>
      </x:c>
      <x:c r="E17" s="125" t="n">
        <x:v>80341.83</x:v>
      </x:c>
      <x:c r="F17" s="126" t="n">
        <x:f>E17/D17-1</x:f>
        <x:v>0.37044311178682165</x:v>
      </x:c>
      <x:c r="G17" s="120" t="str">
        <x:f>IF(F17&gt;='Data &amp; Targets'!$C$30,IF(F17&gt;='Data &amp; Targets'!$C$32,"特大上涨","大上涨"),IF(F17&lt;=-'Data &amp; Targets'!$C$30,"大下跌","未达阈值"))</x:f>
        <x:v>大上涨</x:v>
      </x:c>
      <x:c r="H17" s="126" t="n">
        <x:v>0.15292906812245802</x:v>
      </x:c>
      <x:c r="I17" s="126" t="n">
        <x:v>0.20258463118947292</x:v>
      </x:c>
      <x:c r="J17" s="126" t="n">
        <x:v>0.24702823331600265</x:v>
      </x:c>
      <x:c r="K17" s="126" t="n">
        <x:v>0.16431850326590758</x:v>
      </x:c>
      <x:c r="L17" s="126" t="n">
        <x:v>0.2061285673825785</x:v>
      </x:c>
    </x:row>
  </x:sheetData>
  <x:conditionalFormatting sqref="A7:L17">
    <x:cfRule type="expression" dxfId="4" priority="1">
      <x:formula>OR($G7="大上涨",$G7="特大上涨")</x:formula>
    </x:cfRule>
    <x:cfRule type="expression" dxfId="5" priority="2">
      <x:formula>$G7="大下跌"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4508d482c7af4e20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6" topLeftCell="A7" activePane="bottomLeft" state="frozen"/>
    </x:sheetView>
  </x:sheetViews>
  <x:sheetFormatPr defaultRowHeight="15"/>
  <x:cols>
    <x:col min="1" max="1" width="4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  <x:col min="12" max="12" width="24" hidden="0" customWidth="1"/>
    <x:col min="13" max="13" width="35" hidden="0" customWidth="1"/>
    <x:col min="14" max="14" width="35" hidden="0" customWidth="1"/>
  </x:cols>
  <x:sheetData>
    <x:row r="2">
      <x:c r="A2" s="119" t="str">
        <x:v>逐笔交易与大收益标注</x:v>
      </x:c>
    </x:row>
    <x:row r="3">
      <x:c r="A3" t="str">
        <x:v>绿色：已平仓净收益≥20%；黄色：未平仓。持仓峰值为盘中毛浮盈，不是可实现收益。</x:v>
      </x:c>
    </x:row>
    <x:row r="4">
      <x:c r="A4" t="str">
        <x:v>同一交易可能出现在多个方案中，切勿跨方案汇总；收益分母为固定每笔10,000 USDT。</x:v>
      </x:c>
    </x:row>
    <x:row r="6" ht="34" customHeight="1">
      <x:c r="A6" s="123" t="str">
        <x:v>方案</x:v>
      </x:c>
      <x:c r="B6" s="123" t="str">
        <x:v>方向</x:v>
      </x:c>
      <x:c r="C6" s="123" t="str">
        <x:v>入场UTC</x:v>
      </x:c>
      <x:c r="D6" s="123" t="str">
        <x:v>退出UTC</x:v>
      </x:c>
      <x:c r="E6" s="123" t="str">
        <x:v>入场价</x:v>
      </x:c>
      <x:c r="F6" s="123" t="str">
        <x:v>退出/估值价</x:v>
      </x:c>
      <x:c r="G6" s="123" t="str">
        <x:v>持仓天数</x:v>
      </x:c>
      <x:c r="H6" s="123" t="str">
        <x:v>净损益USDT</x:v>
      </x:c>
      <x:c r="I6" s="123" t="str">
        <x:v>净收益率</x:v>
      </x:c>
      <x:c r="J6" s="123" t="str">
        <x:v>峰值毛浮盈</x:v>
      </x:c>
      <x:c r="K6" s="123" t="str">
        <x:v>状态</x:v>
      </x:c>
      <x:c r="L6" s="123" t="str">
        <x:v>收益标注</x:v>
      </x:c>
      <x:c r="M6" s="123" t="str">
        <x:v>退出原因</x:v>
      </x:c>
      <x:c r="N6" s="123" t="str">
        <x:v>方案ID</x:v>
      </x:c>
    </x:row>
    <x:row r="7" ht="23" customHeight="1">
      <x:c r="A7" s="120" t="str">
        <x:v>原EMA21多空</x:v>
      </x:c>
      <x:c r="B7" s="120" t="str">
        <x:v>多</x:v>
      </x:c>
      <x:c r="C7" s="124" t="n">
        <x:v>45293</x:v>
      </x:c>
      <x:c r="D7" s="124" t="n">
        <x:v>45310</x:v>
      </x:c>
      <x:c r="E7" s="125" t="n">
        <x:v>44179.55</x:v>
      </x:c>
      <x:c r="F7" s="125" t="n">
        <x:v>41327.51</x:v>
      </x:c>
      <x:c r="G7" s="120" t="n">
        <x:v>17</x:v>
      </x:c>
      <x:c r="H7" s="125" t="n">
        <x:v>-664.911041420748</x:v>
      </x:c>
      <x:c r="I7" s="126" t="n">
        <x:f>H7/'Data &amp; Targets'!$C$34</x:f>
        <x:v>-0.0664911041420748</x:v>
      </x:c>
      <x:c r="J7" s="126" t="n">
        <x:v>0.10841961948458056</x:v>
      </x:c>
      <x:c r="K7" s="120" t="str">
        <x:v>已平仓</x:v>
      </x:c>
      <x:c r="L7" s="120" t="str">
        <x:f>IF(K7="未平仓","浮盈未实现",IF(I7&gt;='Data &amp; Targets'!$C$31,"大收益交易",IF(I7&lt;0,"亏损","普通盈利")))</x:f>
        <x:v>亏损</x:v>
      </x:c>
      <x:c r="M7" s="120" t="str">
        <x:v>EMA52-300 cross</x:v>
      </x:c>
      <x:c r="N7" s="120" t="str">
        <x:v>original</x:v>
      </x:c>
    </x:row>
    <x:row r="8" ht="23" customHeight="1">
      <x:c r="A8" s="120" t="str">
        <x:v>原EMA21多空</x:v>
      </x:c>
      <x:c r="B8" s="120" t="str">
        <x:v>多</x:v>
      </x:c>
      <x:c r="C8" s="124" t="n">
        <x:v>45372</x:v>
      </x:c>
      <x:c r="D8" s="124" t="n">
        <x:v>45396</x:v>
      </x:c>
      <x:c r="E8" s="125" t="n">
        <x:v>67840.51</x:v>
      </x:c>
      <x:c r="F8" s="125" t="n">
        <x:v>63924.52</x:v>
      </x:c>
      <x:c r="G8" s="120" t="n">
        <x:v>24</x:v>
      </x:c>
      <x:c r="H8" s="125" t="n">
        <x:v>-596.6575177574576</x:v>
      </x:c>
      <x:c r="I8" s="126" t="n">
        <x:f>H8/'Data &amp; Targets'!$C$34</x:f>
        <x:v>-0.05966575177574576</x:v>
      </x:c>
      <x:c r="J8" s="126" t="n">
        <x:v>0.07307551196180584</x:v>
      </x:c>
      <x:c r="K8" s="120" t="str">
        <x:v>已平仓</x:v>
      </x:c>
      <x:c r="L8" s="120" t="str">
        <x:f>IF(K8="未平仓","浮盈未实现",IF(I8&gt;='Data &amp; Targets'!$C$31,"大收益交易",IF(I8&lt;0,"亏损","普通盈利")))</x:f>
        <x:v>亏损</x:v>
      </x:c>
      <x:c r="M8" s="120" t="str">
        <x:v>EMA52-300 cross</x:v>
      </x:c>
      <x:c r="N8" s="120" t="str">
        <x:v>original</x:v>
      </x:c>
    </x:row>
    <x:row r="9" ht="23" customHeight="1">
      <x:c r="A9" s="120" t="str">
        <x:v>原EMA21多空</x:v>
      </x:c>
      <x:c r="B9" s="120" t="str">
        <x:v>多</x:v>
      </x:c>
      <x:c r="C9" s="124" t="n">
        <x:v>45405</x:v>
      </x:c>
      <x:c r="D9" s="124" t="n">
        <x:v>45409</x:v>
      </x:c>
      <x:c r="E9" s="125" t="n">
        <x:v>66819.32</x:v>
      </x:c>
      <x:c r="F9" s="125" t="n">
        <x:v>63770</x:v>
      </x:c>
      <x:c r="G9" s="120" t="n">
        <x:v>4</x:v>
      </x:c>
      <x:c r="H9" s="125" t="n">
        <x:v>-475.896689759789</x:v>
      </x:c>
      <x:c r="I9" s="126" t="n">
        <x:f>H9/'Data &amp; Targets'!$C$34</x:f>
        <x:v>-0.047589668975978903</x:v>
      </x:c>
      <x:c r="J9" s="126" t="n">
        <x:v>0.005442886877627506</x:v>
      </x:c>
      <x:c r="K9" s="120" t="str">
        <x:v>已平仓</x:v>
      </x:c>
      <x:c r="L9" s="120" t="str">
        <x:f>IF(K9="未平仓","浮盈未实现",IF(I9&gt;='Data &amp; Targets'!$C$31,"大收益交易",IF(I9&lt;0,"亏损","普通盈利")))</x:f>
        <x:v>亏损</x:v>
      </x:c>
      <x:c r="M9" s="120" t="str">
        <x:v>EMA52-300 cross</x:v>
      </x:c>
      <x:c r="N9" s="120" t="str">
        <x:v>original</x:v>
      </x:c>
    </x:row>
    <x:row r="10" ht="23" customHeight="1">
      <x:c r="A10" s="120" t="str">
        <x:v>原EMA21多空</x:v>
      </x:c>
      <x:c r="B10" s="120" t="str">
        <x:v>空</x:v>
      </x:c>
      <x:c r="C10" s="124" t="n">
        <x:v>45427</x:v>
      </x:c>
      <x:c r="D10" s="124" t="n">
        <x:v>45428</x:v>
      </x:c>
      <x:c r="E10" s="125" t="n">
        <x:v>61577.49</x:v>
      </x:c>
      <x:c r="F10" s="125" t="n">
        <x:v>66206.51</x:v>
      </x:c>
      <x:c r="G10" s="120" t="n">
        <x:v>1</x:v>
      </x:c>
      <x:c r="H10" s="125" t="n">
        <x:v>-772.4907267249764</x:v>
      </x:c>
      <x:c r="I10" s="126" t="n">
        <x:f>H10/'Data &amp; Targets'!$C$34</x:f>
        <x:v>-0.07724907267249764</x:v>
      </x:c>
      <x:c r="J10" s="126" t="n">
        <x:v>0.004190167543366874</x:v>
      </x:c>
      <x:c r="K10" s="120" t="str">
        <x:v>已平仓</x:v>
      </x:c>
      <x:c r="L10" s="120" t="str">
        <x:f>IF(K10="未平仓","浮盈未实现",IF(I10&gt;='Data &amp; Targets'!$C$31,"大收益交易",IF(I10&lt;0,"亏损","普通盈利")))</x:f>
        <x:v>亏损</x:v>
      </x:c>
      <x:c r="M10" s="120" t="str">
        <x:v>EMA52 cross</x:v>
      </x:c>
      <x:c r="N10" s="120" t="str">
        <x:v>original</x:v>
      </x:c>
    </x:row>
    <x:row r="11" ht="23" customHeight="1">
      <x:c r="A11" s="120" t="str">
        <x:v>原EMA21多空</x:v>
      </x:c>
      <x:c r="B11" s="120" t="str">
        <x:v>多</x:v>
      </x:c>
      <x:c r="C11" s="124" t="n">
        <x:v>45506</x:v>
      </x:c>
      <x:c r="D11" s="124" t="n">
        <x:v>45507</x:v>
      </x:c>
      <x:c r="E11" s="125" t="n">
        <x:v>65354.02</x:v>
      </x:c>
      <x:c r="F11" s="125" t="n">
        <x:v>61498.34</x:v>
      </x:c>
      <x:c r="G11" s="120" t="n">
        <x:v>1</x:v>
      </x:c>
      <x:c r="H11" s="125" t="n">
        <x:v>-609.378330514328</x:v>
      </x:c>
      <x:c r="I11" s="126" t="n">
        <x:f>H11/'Data &amp; Targets'!$C$34</x:f>
        <x:v>-0.0609378330514328</x:v>
      </x:c>
      <x:c r="J11" s="126" t="n">
        <x:v>0.00370474532400622</x:v>
      </x:c>
      <x:c r="K11" s="120" t="str">
        <x:v>已平仓</x:v>
      </x:c>
      <x:c r="L11" s="120" t="str">
        <x:f>IF(K11="未平仓","浮盈未实现",IF(I11&gt;='Data &amp; Targets'!$C$31,"大收益交易",IF(I11&lt;0,"亏损","普通盈利")))</x:f>
        <x:v>亏损</x:v>
      </x:c>
      <x:c r="M11" s="120" t="str">
        <x:v>EMA52-300 cross</x:v>
      </x:c>
      <x:c r="N11" s="120" t="str">
        <x:v>original</x:v>
      </x:c>
    </x:row>
    <x:row r="12" ht="23" customHeight="1">
      <x:c r="A12" s="120" t="str">
        <x:v>原EMA21多空</x:v>
      </x:c>
      <x:c r="B12" s="120" t="str">
        <x:v>空</x:v>
      </x:c>
      <x:c r="C12" s="124" t="n">
        <x:v>45552</x:v>
      </x:c>
      <x:c r="D12" s="124" t="n">
        <x:v>45553</x:v>
      </x:c>
      <x:c r="E12" s="125" t="n">
        <x:v>58213.99</x:v>
      </x:c>
      <x:c r="F12" s="125" t="n">
        <x:v>60313.99</x:v>
      </x:c>
      <x:c r="G12" s="120" t="n">
        <x:v>1</x:v>
      </x:c>
      <x:c r="H12" s="125" t="n">
        <x:v>-381.09876680845963</x:v>
      </x:c>
      <x:c r="I12" s="126" t="n">
        <x:f>H12/'Data &amp; Targets'!$C$34</x:f>
        <x:v>-0.038109876680845964</x:v>
      </x:c>
      <x:c r="J12" s="126" t="n">
        <x:v>0.010375169267730966</x:v>
      </x:c>
      <x:c r="K12" s="120" t="str">
        <x:v>已平仓</x:v>
      </x:c>
      <x:c r="L12" s="120" t="str">
        <x:f>IF(K12="未平仓","浮盈未实现",IF(I12&gt;='Data &amp; Targets'!$C$31,"大收益交易",IF(I12&lt;0,"亏损","普通盈利")))</x:f>
        <x:v>亏损</x:v>
      </x:c>
      <x:c r="M12" s="120" t="str">
        <x:v>EMA52 cross</x:v>
      </x:c>
      <x:c r="N12" s="120" t="str">
        <x:v>original</x:v>
      </x:c>
    </x:row>
    <x:row r="13" ht="23" customHeight="1">
      <x:c r="A13" s="120" t="str">
        <x:v>原EMA21多空</x:v>
      </x:c>
      <x:c r="B13" s="120" t="str">
        <x:v>多</x:v>
      </x:c>
      <x:c r="C13" s="124" t="n">
        <x:v>45572</x:v>
      </x:c>
      <x:c r="D13" s="124" t="n">
        <x:v>45575</x:v>
      </x:c>
      <x:c r="E13" s="125" t="n">
        <x:v>62819.91</x:v>
      </x:c>
      <x:c r="F13" s="125" t="n">
        <x:v>60636.01</x:v>
      </x:c>
      <x:c r="G13" s="120" t="n">
        <x:v>3</x:v>
      </x:c>
      <x:c r="H13" s="125" t="n">
        <x:v>-367.2969158981606</x:v>
      </x:c>
      <x:c r="I13" s="126" t="n">
        <x:f>H13/'Data &amp; Targets'!$C$34</x:f>
        <x:v>-0.03672969158981606</x:v>
      </x:c>
      <x:c r="J13" s="126" t="n">
        <x:v>0.02639736351102706</x:v>
      </x:c>
      <x:c r="K13" s="120" t="str">
        <x:v>已平仓</x:v>
      </x:c>
      <x:c r="L13" s="120" t="str">
        <x:f>IF(K13="未平仓","浮盈未实现",IF(I13&gt;='Data &amp; Targets'!$C$31,"大收益交易",IF(I13&lt;0,"亏损","普通盈利")))</x:f>
        <x:v>亏损</x:v>
      </x:c>
      <x:c r="M13" s="120" t="str">
        <x:v>EMA52-300 cross</x:v>
      </x:c>
      <x:c r="N13" s="120" t="str">
        <x:v>original</x:v>
      </x:c>
    </x:row>
    <x:row r="14" ht="23" customHeight="1">
      <x:c r="A14" s="120" t="str">
        <x:v>原EMA21多空</x:v>
      </x:c>
      <x:c r="B14" s="120" t="str">
        <x:v>多</x:v>
      </x:c>
      <x:c r="C14" s="124" t="n">
        <x:v>45577</x:v>
      </x:c>
      <x:c r="D14" s="124" t="n">
        <x:v>45667</x:v>
      </x:c>
      <x:c r="E14" s="125" t="n">
        <x:v>62539.99</x:v>
      </x:c>
      <x:c r="F14" s="125" t="n">
        <x:v>92552.49</x:v>
      </x:c>
      <x:c r="G14" s="120" t="n">
        <x:v>90</x:v>
      </x:c>
      <x:c r="H14" s="125" t="n">
        <x:v>4774.130523525829</x:v>
      </x:c>
      <x:c r="I14" s="126" t="n">
        <x:f>H14/'Data &amp; Targets'!$C$34</x:f>
        <x:v>0.47741305235258286</x:v>
      </x:c>
      <x:c r="J14" s="126" t="n">
        <x:v>0.7325394519570598</x:v>
      </x:c>
      <x:c r="K14" s="120" t="str">
        <x:v>已平仓</x:v>
      </x:c>
      <x:c r="L14" s="120" t="str">
        <x:f>IF(K14="未平仓","浮盈未实现",IF(I14&gt;='Data &amp; Targets'!$C$31,"大收益交易",IF(I14&lt;0,"亏损","普通盈利")))</x:f>
        <x:v>大收益交易</x:v>
      </x:c>
      <x:c r="M14" s="120" t="str">
        <x:v>EMA52-300 cross</x:v>
      </x:c>
      <x:c r="N14" s="120" t="str">
        <x:v>original</x:v>
      </x:c>
    </x:row>
    <x:row r="15" ht="23" customHeight="1">
      <x:c r="A15" s="120" t="str">
        <x:v>原EMA21多空</x:v>
      </x:c>
      <x:c r="B15" s="120" t="str">
        <x:v>多</x:v>
      </x:c>
      <x:c r="C15" s="124" t="n">
        <x:v>45672</x:v>
      </x:c>
      <x:c r="D15" s="124" t="n">
        <x:v>45691</x:v>
      </x:c>
      <x:c r="E15" s="125" t="n">
        <x:v>96560.85</x:v>
      </x:c>
      <x:c r="F15" s="125" t="n">
        <x:v>97700.59</x:v>
      </x:c>
      <x:c r="G15" s="120" t="n">
        <x:v>19</x:v>
      </x:c>
      <x:c r="H15" s="125" t="n">
        <x:v>97.91531039753592</x:v>
      </x:c>
      <x:c r="I15" s="126" t="n">
        <x:f>H15/'Data &amp; Targets'!$C$34</x:f>
        <x:v>0.009791531039753592</x:v>
      </x:c>
      <x:c r="J15" s="126" t="n">
        <x:v>0.13491130204425494</x:v>
      </x:c>
      <x:c r="K15" s="120" t="str">
        <x:v>已平仓</x:v>
      </x:c>
      <x:c r="L15" s="120" t="str">
        <x:f>IF(K15="未平仓","浮盈未实现",IF(I15&gt;='Data &amp; Targets'!$C$31,"大收益交易",IF(I15&lt;0,"亏损","普通盈利")))</x:f>
        <x:v>普通盈利</x:v>
      </x:c>
      <x:c r="M15" s="120" t="str">
        <x:v>EMA52-300 cross</x:v>
      </x:c>
      <x:c r="N15" s="120" t="str">
        <x:v>original</x:v>
      </x:c>
    </x:row>
    <x:row r="16" ht="23" customHeight="1">
      <x:c r="A16" s="120" t="str">
        <x:v>原EMA21多空</x:v>
      </x:c>
      <x:c r="B16" s="120" t="str">
        <x:v>空</x:v>
      </x:c>
      <x:c r="C16" s="124" t="n">
        <x:v>45737</x:v>
      </x:c>
      <x:c r="D16" s="124" t="n">
        <x:v>45769</x:v>
      </x:c>
      <x:c r="E16" s="125" t="n">
        <x:v>84223.38</x:v>
      </x:c>
      <x:c r="F16" s="125" t="n">
        <x:v>87516.22</x:v>
      </x:c>
      <x:c r="G16" s="120" t="n">
        <x:v>32</x:v>
      </x:c>
      <x:c r="H16" s="125" t="n">
        <x:v>-411.35603914257496</x:v>
      </x:c>
      <x:c r="I16" s="126" t="n">
        <x:f>H16/'Data &amp; Targets'!$C$34</x:f>
        <x:v>-0.041135603914257496</x:v>
      </x:c>
      <x:c r="J16" s="126" t="n">
        <x:v>0.11535253037814443</x:v>
      </x:c>
      <x:c r="K16" s="120" t="str">
        <x:v>已平仓</x:v>
      </x:c>
      <x:c r="L16" s="120" t="str">
        <x:f>IF(K16="未平仓","浮盈未实现",IF(I16&gt;='Data &amp; Targets'!$C$31,"大收益交易",IF(I16&lt;0,"亏损","普通盈利")))</x:f>
        <x:v>亏损</x:v>
      </x:c>
      <x:c r="M16" s="120" t="str">
        <x:v>EMA52 cross</x:v>
      </x:c>
      <x:c r="N16" s="120" t="str">
        <x:v>original</x:v>
      </x:c>
    </x:row>
    <x:row r="17" ht="23" customHeight="1">
      <x:c r="A17" s="120" t="str">
        <x:v>原EMA21多空</x:v>
      </x:c>
      <x:c r="B17" s="120" t="str">
        <x:v>多</x:v>
      </x:c>
      <x:c r="C17" s="124" t="n">
        <x:v>45810</x:v>
      </x:c>
      <x:c r="D17" s="124" t="n">
        <x:v>45830</x:v>
      </x:c>
      <x:c r="E17" s="125" t="n">
        <x:v>105642.93</x:v>
      </x:c>
      <x:c r="F17" s="125" t="n">
        <x:v>102120.02</x:v>
      </x:c>
      <x:c r="G17" s="120" t="n">
        <x:v>20</x:v>
      </x:c>
      <x:c r="H17" s="125" t="n">
        <x:v>-353.1398599035439</x:v>
      </x:c>
      <x:c r="I17" s="126" t="n">
        <x:f>H17/'Data &amp; Targets'!$C$34</x:f>
        <x:v>-0.03531398599035439</x:v>
      </x:c>
      <x:c r="J17" s="126" t="n">
        <x:v>0.0462618747889707</x:v>
      </x:c>
      <x:c r="K17" s="120" t="str">
        <x:v>已平仓</x:v>
      </x:c>
      <x:c r="L17" s="120" t="str">
        <x:f>IF(K17="未平仓","浮盈未实现",IF(I17&gt;='Data &amp; Targets'!$C$31,"大收益交易",IF(I17&lt;0,"亏损","普通盈利")))</x:f>
        <x:v>亏损</x:v>
      </x:c>
      <x:c r="M17" s="120" t="str">
        <x:v>EMA52-300 cross</x:v>
      </x:c>
      <x:c r="N17" s="120" t="str">
        <x:v>original</x:v>
      </x:c>
    </x:row>
    <x:row r="18" ht="23" customHeight="1">
      <x:c r="A18" s="120" t="str">
        <x:v>原EMA21多空</x:v>
      </x:c>
      <x:c r="B18" s="120" t="str">
        <x:v>多</x:v>
      </x:c>
      <x:c r="C18" s="124" t="n">
        <x:v>45832</x:v>
      </x:c>
      <x:c r="D18" s="124" t="n">
        <x:v>45889</x:v>
      </x:c>
      <x:c r="E18" s="125" t="n">
        <x:v>105333.94</x:v>
      </x:c>
      <x:c r="F18" s="125" t="n">
        <x:v>112872.95</x:v>
      </x:c>
      <x:c r="G18" s="120" t="n">
        <x:v>57</x:v>
      </x:c>
      <x:c r="H18" s="125" t="n">
        <x:v>695.0089505813601</x:v>
      </x:c>
      <x:c r="I18" s="126" t="n">
        <x:f>H18/'Data &amp; Targets'!$C$34</x:f>
        <x:v>0.069500895058136</x:v>
      </x:c>
      <x:c r="J18" s="126" t="n">
        <x:v>0.18170838383146015</x:v>
      </x:c>
      <x:c r="K18" s="120" t="str">
        <x:v>已平仓</x:v>
      </x:c>
      <x:c r="L18" s="120" t="str">
        <x:f>IF(K18="未平仓","浮盈未实现",IF(I18&gt;='Data &amp; Targets'!$C$31,"大收益交易",IF(I18&lt;0,"亏损","普通盈利")))</x:f>
        <x:v>普通盈利</x:v>
      </x:c>
      <x:c r="M18" s="120" t="str">
        <x:v>EMA52-300 cross</x:v>
      </x:c>
      <x:c r="N18" s="120" t="str">
        <x:v>original</x:v>
      </x:c>
    </x:row>
    <x:row r="19" ht="23" customHeight="1">
      <x:c r="A19" s="120" t="str">
        <x:v>原EMA21多空</x:v>
      </x:c>
      <x:c r="B19" s="120" t="str">
        <x:v>多</x:v>
      </x:c>
      <x:c r="C19" s="124" t="n">
        <x:v>45892</x:v>
      </x:c>
      <x:c r="D19" s="124" t="n">
        <x:v>45894</x:v>
      </x:c>
      <x:c r="E19" s="125" t="n">
        <x:v>116936</x:v>
      </x:c>
      <x:c r="F19" s="125" t="n">
        <x:v>113493.59</x:v>
      </x:c>
      <x:c r="G19" s="120" t="n">
        <x:v>2</x:v>
      </x:c>
      <x:c r="H19" s="125" t="n">
        <x:v>-314.08972343846233</x:v>
      </x:c>
      <x:c r="I19" s="126" t="n">
        <x:f>H19/'Data &amp; Targets'!$C$34</x:f>
        <x:v>-0.03140897234384623</x:v>
      </x:c>
      <x:c r="J19" s="126" t="n">
        <x:v>0.000803858520900258</x:v>
      </x:c>
      <x:c r="K19" s="120" t="str">
        <x:v>已平仓</x:v>
      </x:c>
      <x:c r="L19" s="120" t="str">
        <x:f>IF(K19="未平仓","浮盈未实现",IF(I19&gt;='Data &amp; Targets'!$C$31,"大收益交易",IF(I19&lt;0,"亏损","普通盈利")))</x:f>
        <x:v>亏损</x:v>
      </x:c>
      <x:c r="M19" s="120" t="str">
        <x:v>EMA52-300 cross</x:v>
      </x:c>
      <x:c r="N19" s="120" t="str">
        <x:v>original</x:v>
      </x:c>
    </x:row>
    <x:row r="20" ht="23" customHeight="1">
      <x:c r="A20" s="120" t="str">
        <x:v>原EMA21多空</x:v>
      </x:c>
      <x:c r="B20" s="120" t="str">
        <x:v>多</x:v>
      </x:c>
      <x:c r="C20" s="124" t="n">
        <x:v>45930</x:v>
      </x:c>
      <x:c r="D20" s="124" t="n">
        <x:v>45941</x:v>
      </x:c>
      <x:c r="E20" s="125" t="n">
        <x:v>114311.97</x:v>
      </x:c>
      <x:c r="F20" s="125" t="n">
        <x:v>112774.49</x:v>
      </x:c>
      <x:c r="G20" s="120" t="n">
        <x:v>11</x:v>
      </x:c>
      <x:c r="H20" s="125" t="n">
        <x:v>-154.36410202711016</x:v>
      </x:c>
      <x:c r="I20" s="126" t="n">
        <x:f>H20/'Data &amp; Targets'!$C$34</x:f>
        <x:v>-0.015436410202711016</x:v>
      </x:c>
      <x:c r="J20" s="126" t="n">
        <x:v>0.10399313387740584</x:v>
      </x:c>
      <x:c r="K20" s="120" t="str">
        <x:v>已平仓</x:v>
      </x:c>
      <x:c r="L20" s="120" t="str">
        <x:f>IF(K20="未平仓","浮盈未实现",IF(I20&gt;='Data &amp; Targets'!$C$31,"大收益交易",IF(I20&lt;0,"亏损","普通盈利")))</x:f>
        <x:v>亏损</x:v>
      </x:c>
      <x:c r="M20" s="120" t="str">
        <x:v>EMA52-300 cross</x:v>
      </x:c>
      <x:c r="N20" s="120" t="str">
        <x:v>original</x:v>
      </x:c>
    </x:row>
    <x:row r="21" ht="23" customHeight="1">
      <x:c r="A21" s="120" t="str">
        <x:v>原EMA21多空</x:v>
      </x:c>
      <x:c r="B21" s="120" t="str">
        <x:v>空</x:v>
      </x:c>
      <x:c r="C21" s="124" t="n">
        <x:v>45996</x:v>
      </x:c>
      <x:c r="D21" s="124" t="n">
        <x:v>46028</x:v>
      </x:c>
      <x:c r="E21" s="125" t="n">
        <x:v>92078.06</x:v>
      </x:c>
      <x:c r="F21" s="125" t="n">
        <x:v>93859.71</x:v>
      </x:c>
      <x:c r="G21" s="120" t="n">
        <x:v>32</x:v>
      </x:c>
      <x:c r="H21" s="125" t="n">
        <x:v>-213.68692715724123</x:v>
      </x:c>
      <x:c r="I21" s="126" t="n">
        <x:f>H21/'Data &amp; Targets'!$C$34</x:f>
        <x:v>-0.021368692715724124</x:v>
      </x:c>
      <x:c r="J21" s="126" t="n">
        <x:v>0.08284329622061982</x:v>
      </x:c>
      <x:c r="K21" s="120" t="str">
        <x:v>已平仓</x:v>
      </x:c>
      <x:c r="L21" s="120" t="str">
        <x:f>IF(K21="未平仓","浮盈未实现",IF(I21&gt;='Data &amp; Targets'!$C$31,"大收益交易",IF(I21&lt;0,"亏损","普通盈利")))</x:f>
        <x:v>亏损</x:v>
      </x:c>
      <x:c r="M21" s="120" t="str">
        <x:v>EMA52 cross</x:v>
      </x:c>
      <x:c r="N21" s="120" t="str">
        <x:v>original</x:v>
      </x:c>
    </x:row>
    <x:row r="22" ht="23" customHeight="1">
      <x:c r="A22" s="120" t="str">
        <x:v>原EMA21多空</x:v>
      </x:c>
      <x:c r="B22" s="120" t="str">
        <x:v>空</x:v>
      </x:c>
      <x:c r="C22" s="124" t="n">
        <x:v>46085</x:v>
      </x:c>
      <x:c r="D22" s="124" t="n">
        <x:v>46098</x:v>
      </x:c>
      <x:c r="E22" s="125" t="n">
        <x:v>68338.01</x:v>
      </x:c>
      <x:c r="F22" s="125" t="n">
        <x:v>74884.67</x:v>
      </x:c>
      <x:c r="G22" s="120" t="n">
        <x:v>13</x:v>
      </x:c>
      <x:c r="H22" s="125" t="n">
        <x:v>-978.9402237495655</x:v>
      </x:c>
      <x:c r="I22" s="126" t="n">
        <x:f>H22/'Data &amp; Targets'!$C$34</x:f>
        <x:v>-0.09789402237495655</x:v>
      </x:c>
      <x:c r="J22" s="126" t="n">
        <x:v>0.03979513011865565</x:v>
      </x:c>
      <x:c r="K22" s="120" t="str">
        <x:v>已平仓</x:v>
      </x:c>
      <x:c r="L22" s="120" t="str">
        <x:f>IF(K22="未平仓","浮盈未实现",IF(I22&gt;='Data &amp; Targets'!$C$31,"大收益交易",IF(I22&lt;0,"亏损","普通盈利")))</x:f>
        <x:v>亏损</x:v>
      </x:c>
      <x:c r="M22" s="120" t="str">
        <x:v>EMA52 cross</x:v>
      </x:c>
      <x:c r="N22" s="120" t="str">
        <x:v>original</x:v>
      </x:c>
    </x:row>
    <x:row r="23" ht="23" customHeight="1">
      <x:c r="A23" s="120" t="str">
        <x:v>原EMA21多空</x:v>
      </x:c>
      <x:c r="B23" s="120" t="str">
        <x:v>空</x:v>
      </x:c>
      <x:c r="C23" s="124" t="n">
        <x:v>46101</x:v>
      </x:c>
      <x:c r="D23" s="124" t="n">
        <x:v>46120</x:v>
      </x:c>
      <x:c r="E23" s="125" t="n">
        <x:v>69930.01</x:v>
      </x:c>
      <x:c r="F23" s="125" t="n">
        <x:v>71924.22</x:v>
      </x:c>
      <x:c r="G23" s="120" t="n">
        <x:v>19</x:v>
      </x:c>
      <x:c r="H23" s="125" t="n">
        <x:v>-305.45744666703274</x:v>
      </x:c>
      <x:c r="I23" s="126" t="n">
        <x:f>H23/'Data &amp; Targets'!$C$34</x:f>
        <x:v>-0.030545744666703276</x:v>
      </x:c>
      <x:c r="J23" s="126" t="n">
        <x:v>0.07049920341781724</x:v>
      </x:c>
      <x:c r="K23" s="120" t="str">
        <x:v>已平仓</x:v>
      </x:c>
      <x:c r="L23" s="120" t="str">
        <x:f>IF(K23="未平仓","浮盈未实现",IF(I23&gt;='Data &amp; Targets'!$C$31,"大收益交易",IF(I23&lt;0,"亏损","普通盈利")))</x:f>
        <x:v>亏损</x:v>
      </x:c>
      <x:c r="M23" s="120" t="str">
        <x:v>EMA52 cross</x:v>
      </x:c>
      <x:c r="N23" s="120" t="str">
        <x:v>original</x:v>
      </x:c>
    </x:row>
    <x:row r="24" ht="23" customHeight="1">
      <x:c r="A24" s="120" t="str">
        <x:v>原EMA21多空</x:v>
      </x:c>
      <x:c r="B24" s="120" t="str">
        <x:v>空</x:v>
      </x:c>
      <x:c r="C24" s="124" t="n">
        <x:v>46212</x:v>
      </x:c>
      <x:c r="D24" s="124" t="n">
        <x:v>46224</x:v>
      </x:c>
      <x:c r="E24" s="125" t="n">
        <x:v>62290.01</x:v>
      </x:c>
      <x:c r="F24" s="125" t="n">
        <x:v>65255.51</x:v>
      </x:c>
      <x:c r="G24" s="120" t="n">
        <x:v>12</x:v>
      </x:c>
      <x:c r="H24" s="125" t="n">
        <x:v>-496.55563067015083</x:v>
      </x:c>
      <x:c r="I24" s="126" t="n">
        <x:f>H24/'Data &amp; Targets'!$C$34</x:f>
        <x:v>-0.04965556306701508</x:v>
      </x:c>
      <x:c r="J24" s="126" t="n">
        <x:v>0.009387059016365606</x:v>
      </x:c>
      <x:c r="K24" s="120" t="str">
        <x:v>已平仓</x:v>
      </x:c>
      <x:c r="L24" s="120" t="str">
        <x:f>IF(K24="未平仓","浮盈未实现",IF(I24&gt;='Data &amp; Targets'!$C$31,"大收益交易",IF(I24&lt;0,"亏损","普通盈利")))</x:f>
        <x:v>亏损</x:v>
      </x:c>
      <x:c r="M24" s="120" t="str">
        <x:v>EMA52 cross</x:v>
      </x:c>
      <x:c r="N24" s="120" t="str">
        <x:v>original</x:v>
      </x:c>
    </x:row>
    <x:row r="25" ht="23" customHeight="1">
      <x:c r="A25" s="120" t="str">
        <x:v>原EMA21多空</x:v>
      </x:c>
      <x:c r="B25" s="120" t="str">
        <x:v>多</x:v>
      </x:c>
      <x:c r="C25" s="124" t="n">
        <x:v>46229</x:v>
      </x:c>
      <x:c r="D25" s="124" t="n">
        <x:v>46231</x:v>
      </x:c>
      <x:c r="E25" s="125" t="n">
        <x:v>64375.01</x:v>
      </x:c>
      <x:c r="F25" s="125" t="n">
        <x:v>63755.86</x:v>
      </x:c>
      <x:c r="G25" s="120" t="n">
        <x:v>2</x:v>
      </x:c>
      <x:c r="H25" s="125" t="n">
        <x:v>-116.08244721049385</x:v>
      </x:c>
      <x:c r="I25" s="126" t="n">
        <x:f>H25/'Data &amp; Targets'!$C$34</x:f>
        <x:v>-0.011608244721049385</x:v>
      </x:c>
      <x:c r="J25" s="126" t="n">
        <x:v>0.021275181161136913</x:v>
      </x:c>
      <x:c r="K25" s="120" t="str">
        <x:v>已平仓</x:v>
      </x:c>
      <x:c r="L25" s="120" t="str">
        <x:f>IF(K25="未平仓","浮盈未实现",IF(I25&gt;='Data &amp; Targets'!$C$31,"大收益交易",IF(I25&lt;0,"亏损","普通盈利")))</x:f>
        <x:v>亏损</x:v>
      </x:c>
      <x:c r="M25" s="120" t="str">
        <x:v>EMA52-300 cross</x:v>
      </x:c>
      <x:c r="N25" s="120" t="str">
        <x:v>original</x:v>
      </x:c>
    </x:row>
    <x:row r="26" ht="23" customHeight="1">
      <x:c r="A26" s="120" t="str">
        <x:v>原EMA21多空</x:v>
      </x:c>
      <x:c r="B26" s="120" t="str">
        <x:v>多</x:v>
      </x:c>
      <x:c r="C26" s="124" t="n">
        <x:v>46234</x:v>
      </x:c>
      <x:c r="D26" s="124" t="n">
        <x:v>46235</x:v>
      </x:c>
      <x:c r="E26" s="125" t="n">
        <x:v>64780.03</x:v>
      </x:c>
      <x:c r="F26" s="125" t="n">
        <x:v>62887.88</x:v>
      </x:c>
      <x:c r="G26" s="120" t="n">
        <x:v>1</x:v>
      </x:c>
      <x:c r="H26" s="125" t="n">
        <x:v>-311.79638385471594</x:v>
      </x:c>
      <x:c r="I26" s="126" t="n">
        <x:f>H26/'Data &amp; Targets'!$C$34</x:f>
        <x:v>-0.031179638385471595</x:v>
      </x:c>
      <x:c r="J26" s="126" t="n">
        <x:v>0.009717964008352453</x:v>
      </x:c>
      <x:c r="K26" s="120" t="str">
        <x:v>已平仓</x:v>
      </x:c>
      <x:c r="L26" s="120" t="str">
        <x:f>IF(K26="未平仓","浮盈未实现",IF(I26&gt;='Data &amp; Targets'!$C$31,"大收益交易",IF(I26&lt;0,"亏损","普通盈利")))</x:f>
        <x:v>亏损</x:v>
      </x:c>
      <x:c r="M26" s="120" t="str">
        <x:v>EMA52-300 cross</x:v>
      </x:c>
      <x:c r="N26" s="120" t="str">
        <x:v>original</x:v>
      </x:c>
    </x:row>
    <x:row r="27" ht="23" customHeight="1">
      <x:c r="A27" s="120" t="str">
        <x:v>原EMA21多空</x:v>
      </x:c>
      <x:c r="B27" s="120" t="str">
        <x:v>多</x:v>
      </x:c>
      <x:c r="C27" s="124" t="n">
        <x:v>46239</x:v>
      </x:c>
      <x:c r="D27" s="124" t="n">
        <x:v>46241</x:v>
      </x:c>
      <x:c r="E27" s="125" t="n">
        <x:v>64106.55</x:v>
      </x:c>
      <x:c r="F27" s="125" t="n">
        <x:v>64323.61</x:v>
      </x:c>
      <x:c r="G27" s="120" t="n">
        <x:v>2</x:v>
      </x:c>
      <x:c r="H27" s="125" t="n">
        <x:v>13.8253953769151</x:v>
      </x:c>
      <x:c r="I27" s="126" t="n">
        <x:f>H27/'Data &amp; Targets'!$C$34</x:f>
        <x:v>0.00138253953769151</x:v>
      </x:c>
      <x:c r="J27" s="126" t="n">
        <x:v>0.014330360938156872</x:v>
      </x:c>
      <x:c r="K27" s="120" t="str">
        <x:v>已平仓</x:v>
      </x:c>
      <x:c r="L27" s="120" t="str">
        <x:f>IF(K27="未平仓","浮盈未实现",IF(I27&gt;='Data &amp; Targets'!$C$31,"大收益交易",IF(I27&lt;0,"亏损","普通盈利")))</x:f>
        <x:v>普通盈利</x:v>
      </x:c>
      <x:c r="M27" s="120" t="str">
        <x:v>EMA52-300 cross</x:v>
      </x:c>
      <x:c r="N27" s="120" t="str">
        <x:v>original</x:v>
      </x:c>
    </x:row>
    <x:row r="28" ht="23" customHeight="1">
      <x:c r="A28" s="120" t="str">
        <x:v>原EMA21多空</x:v>
      </x:c>
      <x:c r="B28" s="120" t="str">
        <x:v>多</x:v>
      </x:c>
      <x:c r="C28" s="124" t="n">
        <x:v>46252</x:v>
      </x:c>
      <x:c r="D28" s="124"/>
      <x:c r="E28" s="125" t="n">
        <x:v>64532.11</x:v>
      </x:c>
      <x:c r="F28" s="125" t="n">
        <x:v>80341.83</x:v>
      </x:c>
      <x:c r="G28" s="120" t="n">
        <x:v>19</x:v>
      </x:c>
      <x:c r="H28" s="125" t="n">
        <x:v>2439.899747583025</x:v>
      </x:c>
      <x:c r="I28" s="126" t="n">
        <x:f>H28/'Data &amp; Targets'!$C$34</x:f>
        <x:v>0.2439899747583025</x:v>
      </x:c>
      <x:c r="J28" s="126"/>
      <x:c r="K28" s="120" t="str">
        <x:v>未平仓</x:v>
      </x:c>
      <x:c r="L28" s="120" t="str">
        <x:f>IF(K28="未平仓","浮盈未实现",IF(I28&gt;='Data &amp; Targets'!$C$31,"大收益交易",IF(I28&lt;0,"亏损","普通盈利")))</x:f>
        <x:v>浮盈未实现</x:v>
      </x:c>
      <x:c r="M28" s="120" t="str">
        <x:v>期末按收盘估值；仅扣已付开仓费</x:v>
      </x:c>
      <x:c r="N28" s="120" t="str">
        <x:v>original</x:v>
      </x:c>
    </x:row>
    <x:row r="29" ht="23" customHeight="1">
      <x:c r="A29" s="120" t="str">
        <x:v>EMA21仅多</x:v>
      </x:c>
      <x:c r="B29" s="120" t="str">
        <x:v>多</x:v>
      </x:c>
      <x:c r="C29" s="124" t="n">
        <x:v>45293</x:v>
      </x:c>
      <x:c r="D29" s="124" t="n">
        <x:v>45310</x:v>
      </x:c>
      <x:c r="E29" s="125" t="n">
        <x:v>44179.55</x:v>
      </x:c>
      <x:c r="F29" s="125" t="n">
        <x:v>41327.51</x:v>
      </x:c>
      <x:c r="G29" s="120" t="n">
        <x:v>17</x:v>
      </x:c>
      <x:c r="H29" s="125" t="n">
        <x:v>-664.911041420748</x:v>
      </x:c>
      <x:c r="I29" s="126" t="n">
        <x:f>H29/'Data &amp; Targets'!$C$34</x:f>
        <x:v>-0.0664911041420748</x:v>
      </x:c>
      <x:c r="J29" s="126" t="n">
        <x:v>0.10841961948458056</x:v>
      </x:c>
      <x:c r="K29" s="120" t="str">
        <x:v>已平仓</x:v>
      </x:c>
      <x:c r="L29" s="120" t="str">
        <x:f>IF(K29="未平仓","浮盈未实现",IF(I29&gt;='Data &amp; Targets'!$C$31,"大收益交易",IF(I29&lt;0,"亏损","普通盈利")))</x:f>
        <x:v>亏损</x:v>
      </x:c>
      <x:c r="M29" s="120" t="str">
        <x:v>EMA52-300 cross</x:v>
      </x:c>
      <x:c r="N29" s="120" t="str">
        <x:v>long_only</x:v>
      </x:c>
    </x:row>
    <x:row r="30" ht="23" customHeight="1">
      <x:c r="A30" s="120" t="str">
        <x:v>EMA21仅多</x:v>
      </x:c>
      <x:c r="B30" s="120" t="str">
        <x:v>多</x:v>
      </x:c>
      <x:c r="C30" s="124" t="n">
        <x:v>45372</x:v>
      </x:c>
      <x:c r="D30" s="124" t="n">
        <x:v>45396</x:v>
      </x:c>
      <x:c r="E30" s="125" t="n">
        <x:v>67840.51</x:v>
      </x:c>
      <x:c r="F30" s="125" t="n">
        <x:v>63924.52</x:v>
      </x:c>
      <x:c r="G30" s="120" t="n">
        <x:v>24</x:v>
      </x:c>
      <x:c r="H30" s="125" t="n">
        <x:v>-596.6575177574576</x:v>
      </x:c>
      <x:c r="I30" s="126" t="n">
        <x:f>H30/'Data &amp; Targets'!$C$34</x:f>
        <x:v>-0.05966575177574576</x:v>
      </x:c>
      <x:c r="J30" s="126" t="n">
        <x:v>0.07307551196180584</x:v>
      </x:c>
      <x:c r="K30" s="120" t="str">
        <x:v>已平仓</x:v>
      </x:c>
      <x:c r="L30" s="120" t="str">
        <x:f>IF(K30="未平仓","浮盈未实现",IF(I30&gt;='Data &amp; Targets'!$C$31,"大收益交易",IF(I30&lt;0,"亏损","普通盈利")))</x:f>
        <x:v>亏损</x:v>
      </x:c>
      <x:c r="M30" s="120" t="str">
        <x:v>EMA52-300 cross</x:v>
      </x:c>
      <x:c r="N30" s="120" t="str">
        <x:v>long_only</x:v>
      </x:c>
    </x:row>
    <x:row r="31" ht="23" customHeight="1">
      <x:c r="A31" s="120" t="str">
        <x:v>EMA21仅多</x:v>
      </x:c>
      <x:c r="B31" s="120" t="str">
        <x:v>多</x:v>
      </x:c>
      <x:c r="C31" s="124" t="n">
        <x:v>45405</x:v>
      </x:c>
      <x:c r="D31" s="124" t="n">
        <x:v>45409</x:v>
      </x:c>
      <x:c r="E31" s="125" t="n">
        <x:v>66819.32</x:v>
      </x:c>
      <x:c r="F31" s="125" t="n">
        <x:v>63770</x:v>
      </x:c>
      <x:c r="G31" s="120" t="n">
        <x:v>4</x:v>
      </x:c>
      <x:c r="H31" s="125" t="n">
        <x:v>-475.896689759789</x:v>
      </x:c>
      <x:c r="I31" s="126" t="n">
        <x:f>H31/'Data &amp; Targets'!$C$34</x:f>
        <x:v>-0.047589668975978903</x:v>
      </x:c>
      <x:c r="J31" s="126" t="n">
        <x:v>0.005442886877627506</x:v>
      </x:c>
      <x:c r="K31" s="120" t="str">
        <x:v>已平仓</x:v>
      </x:c>
      <x:c r="L31" s="120" t="str">
        <x:f>IF(K31="未平仓","浮盈未实现",IF(I31&gt;='Data &amp; Targets'!$C$31,"大收益交易",IF(I31&lt;0,"亏损","普通盈利")))</x:f>
        <x:v>亏损</x:v>
      </x:c>
      <x:c r="M31" s="120" t="str">
        <x:v>EMA52-300 cross</x:v>
      </x:c>
      <x:c r="N31" s="120" t="str">
        <x:v>long_only</x:v>
      </x:c>
    </x:row>
    <x:row r="32" ht="23" customHeight="1">
      <x:c r="A32" s="120" t="str">
        <x:v>EMA21仅多</x:v>
      </x:c>
      <x:c r="B32" s="120" t="str">
        <x:v>多</x:v>
      </x:c>
      <x:c r="C32" s="124" t="n">
        <x:v>45506</x:v>
      </x:c>
      <x:c r="D32" s="124" t="n">
        <x:v>45507</x:v>
      </x:c>
      <x:c r="E32" s="125" t="n">
        <x:v>65354.02</x:v>
      </x:c>
      <x:c r="F32" s="125" t="n">
        <x:v>61498.34</x:v>
      </x:c>
      <x:c r="G32" s="120" t="n">
        <x:v>1</x:v>
      </x:c>
      <x:c r="H32" s="125" t="n">
        <x:v>-609.378330514328</x:v>
      </x:c>
      <x:c r="I32" s="126" t="n">
        <x:f>H32/'Data &amp; Targets'!$C$34</x:f>
        <x:v>-0.0609378330514328</x:v>
      </x:c>
      <x:c r="J32" s="126" t="n">
        <x:v>0.00370474532400622</x:v>
      </x:c>
      <x:c r="K32" s="120" t="str">
        <x:v>已平仓</x:v>
      </x:c>
      <x:c r="L32" s="120" t="str">
        <x:f>IF(K32="未平仓","浮盈未实现",IF(I32&gt;='Data &amp; Targets'!$C$31,"大收益交易",IF(I32&lt;0,"亏损","普通盈利")))</x:f>
        <x:v>亏损</x:v>
      </x:c>
      <x:c r="M32" s="120" t="str">
        <x:v>EMA52-300 cross</x:v>
      </x:c>
      <x:c r="N32" s="120" t="str">
        <x:v>long_only</x:v>
      </x:c>
    </x:row>
    <x:row r="33" ht="23" customHeight="1">
      <x:c r="A33" s="120" t="str">
        <x:v>EMA21仅多</x:v>
      </x:c>
      <x:c r="B33" s="120" t="str">
        <x:v>多</x:v>
      </x:c>
      <x:c r="C33" s="124" t="n">
        <x:v>45572</x:v>
      </x:c>
      <x:c r="D33" s="124" t="n">
        <x:v>45575</x:v>
      </x:c>
      <x:c r="E33" s="125" t="n">
        <x:v>62819.91</x:v>
      </x:c>
      <x:c r="F33" s="125" t="n">
        <x:v>60636.01</x:v>
      </x:c>
      <x:c r="G33" s="120" t="n">
        <x:v>3</x:v>
      </x:c>
      <x:c r="H33" s="125" t="n">
        <x:v>-367.2969158981606</x:v>
      </x:c>
      <x:c r="I33" s="126" t="n">
        <x:f>H33/'Data &amp; Targets'!$C$34</x:f>
        <x:v>-0.03672969158981606</x:v>
      </x:c>
      <x:c r="J33" s="126" t="n">
        <x:v>0.02639736351102706</x:v>
      </x:c>
      <x:c r="K33" s="120" t="str">
        <x:v>已平仓</x:v>
      </x:c>
      <x:c r="L33" s="120" t="str">
        <x:f>IF(K33="未平仓","浮盈未实现",IF(I33&gt;='Data &amp; Targets'!$C$31,"大收益交易",IF(I33&lt;0,"亏损","普通盈利")))</x:f>
        <x:v>亏损</x:v>
      </x:c>
      <x:c r="M33" s="120" t="str">
        <x:v>EMA52-300 cross</x:v>
      </x:c>
      <x:c r="N33" s="120" t="str">
        <x:v>long_only</x:v>
      </x:c>
    </x:row>
    <x:row r="34" ht="23" customHeight="1">
      <x:c r="A34" s="120" t="str">
        <x:v>EMA21仅多</x:v>
      </x:c>
      <x:c r="B34" s="120" t="str">
        <x:v>多</x:v>
      </x:c>
      <x:c r="C34" s="124" t="n">
        <x:v>45577</x:v>
      </x:c>
      <x:c r="D34" s="124" t="n">
        <x:v>45667</x:v>
      </x:c>
      <x:c r="E34" s="125" t="n">
        <x:v>62539.99</x:v>
      </x:c>
      <x:c r="F34" s="125" t="n">
        <x:v>92552.49</x:v>
      </x:c>
      <x:c r="G34" s="120" t="n">
        <x:v>90</x:v>
      </x:c>
      <x:c r="H34" s="125" t="n">
        <x:v>4774.130523525829</x:v>
      </x:c>
      <x:c r="I34" s="126" t="n">
        <x:f>H34/'Data &amp; Targets'!$C$34</x:f>
        <x:v>0.47741305235258286</x:v>
      </x:c>
      <x:c r="J34" s="126" t="n">
        <x:v>0.7325394519570598</x:v>
      </x:c>
      <x:c r="K34" s="120" t="str">
        <x:v>已平仓</x:v>
      </x:c>
      <x:c r="L34" s="120" t="str">
        <x:f>IF(K34="未平仓","浮盈未实现",IF(I34&gt;='Data &amp; Targets'!$C$31,"大收益交易",IF(I34&lt;0,"亏损","普通盈利")))</x:f>
        <x:v>大收益交易</x:v>
      </x:c>
      <x:c r="M34" s="120" t="str">
        <x:v>EMA52-300 cross</x:v>
      </x:c>
      <x:c r="N34" s="120" t="str">
        <x:v>long_only</x:v>
      </x:c>
    </x:row>
    <x:row r="35" ht="23" customHeight="1">
      <x:c r="A35" s="120" t="str">
        <x:v>EMA21仅多</x:v>
      </x:c>
      <x:c r="B35" s="120" t="str">
        <x:v>多</x:v>
      </x:c>
      <x:c r="C35" s="124" t="n">
        <x:v>45672</x:v>
      </x:c>
      <x:c r="D35" s="124" t="n">
        <x:v>45691</x:v>
      </x:c>
      <x:c r="E35" s="125" t="n">
        <x:v>96560.85</x:v>
      </x:c>
      <x:c r="F35" s="125" t="n">
        <x:v>97700.59</x:v>
      </x:c>
      <x:c r="G35" s="120" t="n">
        <x:v>19</x:v>
      </x:c>
      <x:c r="H35" s="125" t="n">
        <x:v>97.91531039753592</x:v>
      </x:c>
      <x:c r="I35" s="126" t="n">
        <x:f>H35/'Data &amp; Targets'!$C$34</x:f>
        <x:v>0.009791531039753592</x:v>
      </x:c>
      <x:c r="J35" s="126" t="n">
        <x:v>0.13491130204425494</x:v>
      </x:c>
      <x:c r="K35" s="120" t="str">
        <x:v>已平仓</x:v>
      </x:c>
      <x:c r="L35" s="120" t="str">
        <x:f>IF(K35="未平仓","浮盈未实现",IF(I35&gt;='Data &amp; Targets'!$C$31,"大收益交易",IF(I35&lt;0,"亏损","普通盈利")))</x:f>
        <x:v>普通盈利</x:v>
      </x:c>
      <x:c r="M35" s="120" t="str">
        <x:v>EMA52-300 cross</x:v>
      </x:c>
      <x:c r="N35" s="120" t="str">
        <x:v>long_only</x:v>
      </x:c>
    </x:row>
    <x:row r="36" ht="23" customHeight="1">
      <x:c r="A36" s="120" t="str">
        <x:v>EMA21仅多</x:v>
      </x:c>
      <x:c r="B36" s="120" t="str">
        <x:v>多</x:v>
      </x:c>
      <x:c r="C36" s="124" t="n">
        <x:v>45810</x:v>
      </x:c>
      <x:c r="D36" s="124" t="n">
        <x:v>45830</x:v>
      </x:c>
      <x:c r="E36" s="125" t="n">
        <x:v>105642.93</x:v>
      </x:c>
      <x:c r="F36" s="125" t="n">
        <x:v>102120.02</x:v>
      </x:c>
      <x:c r="G36" s="120" t="n">
        <x:v>20</x:v>
      </x:c>
      <x:c r="H36" s="125" t="n">
        <x:v>-353.1398599035439</x:v>
      </x:c>
      <x:c r="I36" s="126" t="n">
        <x:f>H36/'Data &amp; Targets'!$C$34</x:f>
        <x:v>-0.03531398599035439</x:v>
      </x:c>
      <x:c r="J36" s="126" t="n">
        <x:v>0.0462618747889707</x:v>
      </x:c>
      <x:c r="K36" s="120" t="str">
        <x:v>已平仓</x:v>
      </x:c>
      <x:c r="L36" s="120" t="str">
        <x:f>IF(K36="未平仓","浮盈未实现",IF(I36&gt;='Data &amp; Targets'!$C$31,"大收益交易",IF(I36&lt;0,"亏损","普通盈利")))</x:f>
        <x:v>亏损</x:v>
      </x:c>
      <x:c r="M36" s="120" t="str">
        <x:v>EMA52-300 cross</x:v>
      </x:c>
      <x:c r="N36" s="120" t="str">
        <x:v>long_only</x:v>
      </x:c>
    </x:row>
    <x:row r="37" ht="23" customHeight="1">
      <x:c r="A37" s="120" t="str">
        <x:v>EMA21仅多</x:v>
      </x:c>
      <x:c r="B37" s="120" t="str">
        <x:v>多</x:v>
      </x:c>
      <x:c r="C37" s="124" t="n">
        <x:v>45832</x:v>
      </x:c>
      <x:c r="D37" s="124" t="n">
        <x:v>45889</x:v>
      </x:c>
      <x:c r="E37" s="125" t="n">
        <x:v>105333.94</x:v>
      </x:c>
      <x:c r="F37" s="125" t="n">
        <x:v>112872.95</x:v>
      </x:c>
      <x:c r="G37" s="120" t="n">
        <x:v>57</x:v>
      </x:c>
      <x:c r="H37" s="125" t="n">
        <x:v>695.0089505813601</x:v>
      </x:c>
      <x:c r="I37" s="126" t="n">
        <x:f>H37/'Data &amp; Targets'!$C$34</x:f>
        <x:v>0.069500895058136</x:v>
      </x:c>
      <x:c r="J37" s="126" t="n">
        <x:v>0.18170838383146015</x:v>
      </x:c>
      <x:c r="K37" s="120" t="str">
        <x:v>已平仓</x:v>
      </x:c>
      <x:c r="L37" s="120" t="str">
        <x:f>IF(K37="未平仓","浮盈未实现",IF(I37&gt;='Data &amp; Targets'!$C$31,"大收益交易",IF(I37&lt;0,"亏损","普通盈利")))</x:f>
        <x:v>普通盈利</x:v>
      </x:c>
      <x:c r="M37" s="120" t="str">
        <x:v>EMA52-300 cross</x:v>
      </x:c>
      <x:c r="N37" s="120" t="str">
        <x:v>long_only</x:v>
      </x:c>
    </x:row>
    <x:row r="38" ht="23" customHeight="1">
      <x:c r="A38" s="120" t="str">
        <x:v>EMA21仅多</x:v>
      </x:c>
      <x:c r="B38" s="120" t="str">
        <x:v>多</x:v>
      </x:c>
      <x:c r="C38" s="124" t="n">
        <x:v>45892</x:v>
      </x:c>
      <x:c r="D38" s="124" t="n">
        <x:v>45894</x:v>
      </x:c>
      <x:c r="E38" s="125" t="n">
        <x:v>116936</x:v>
      </x:c>
      <x:c r="F38" s="125" t="n">
        <x:v>113493.59</x:v>
      </x:c>
      <x:c r="G38" s="120" t="n">
        <x:v>2</x:v>
      </x:c>
      <x:c r="H38" s="125" t="n">
        <x:v>-314.08972343846233</x:v>
      </x:c>
      <x:c r="I38" s="126" t="n">
        <x:f>H38/'Data &amp; Targets'!$C$34</x:f>
        <x:v>-0.03140897234384623</x:v>
      </x:c>
      <x:c r="J38" s="126" t="n">
        <x:v>0.000803858520900258</x:v>
      </x:c>
      <x:c r="K38" s="120" t="str">
        <x:v>已平仓</x:v>
      </x:c>
      <x:c r="L38" s="120" t="str">
        <x:f>IF(K38="未平仓","浮盈未实现",IF(I38&gt;='Data &amp; Targets'!$C$31,"大收益交易",IF(I38&lt;0,"亏损","普通盈利")))</x:f>
        <x:v>亏损</x:v>
      </x:c>
      <x:c r="M38" s="120" t="str">
        <x:v>EMA52-300 cross</x:v>
      </x:c>
      <x:c r="N38" s="120" t="str">
        <x:v>long_only</x:v>
      </x:c>
    </x:row>
    <x:row r="39" ht="23" customHeight="1">
      <x:c r="A39" s="120" t="str">
        <x:v>EMA21仅多</x:v>
      </x:c>
      <x:c r="B39" s="120" t="str">
        <x:v>多</x:v>
      </x:c>
      <x:c r="C39" s="124" t="n">
        <x:v>45930</x:v>
      </x:c>
      <x:c r="D39" s="124" t="n">
        <x:v>45941</x:v>
      </x:c>
      <x:c r="E39" s="125" t="n">
        <x:v>114311.97</x:v>
      </x:c>
      <x:c r="F39" s="125" t="n">
        <x:v>112774.49</x:v>
      </x:c>
      <x:c r="G39" s="120" t="n">
        <x:v>11</x:v>
      </x:c>
      <x:c r="H39" s="125" t="n">
        <x:v>-154.36410202711016</x:v>
      </x:c>
      <x:c r="I39" s="126" t="n">
        <x:f>H39/'Data &amp; Targets'!$C$34</x:f>
        <x:v>-0.015436410202711016</x:v>
      </x:c>
      <x:c r="J39" s="126" t="n">
        <x:v>0.10399313387740584</x:v>
      </x:c>
      <x:c r="K39" s="120" t="str">
        <x:v>已平仓</x:v>
      </x:c>
      <x:c r="L39" s="120" t="str">
        <x:f>IF(K39="未平仓","浮盈未实现",IF(I39&gt;='Data &amp; Targets'!$C$31,"大收益交易",IF(I39&lt;0,"亏损","普通盈利")))</x:f>
        <x:v>亏损</x:v>
      </x:c>
      <x:c r="M39" s="120" t="str">
        <x:v>EMA52-300 cross</x:v>
      </x:c>
      <x:c r="N39" s="120" t="str">
        <x:v>long_only</x:v>
      </x:c>
    </x:row>
    <x:row r="40" ht="23" customHeight="1">
      <x:c r="A40" s="120" t="str">
        <x:v>EMA21仅多</x:v>
      </x:c>
      <x:c r="B40" s="120" t="str">
        <x:v>多</x:v>
      </x:c>
      <x:c r="C40" s="124" t="n">
        <x:v>46105</x:v>
      </x:c>
      <x:c r="D40" s="124" t="n">
        <x:v>46165</x:v>
      </x:c>
      <x:c r="E40" s="125" t="n">
        <x:v>70906.45</x:v>
      </x:c>
      <x:c r="F40" s="125" t="n">
        <x:v>75539.5</x:v>
      </x:c>
      <x:c r="G40" s="120" t="n">
        <x:v>60</x:v>
      </x:c>
      <x:c r="H40" s="125" t="n">
        <x:v>632.7497780526317</x:v>
      </x:c>
      <x:c r="I40" s="126" t="n">
        <x:f>H40/'Data &amp; Targets'!$C$34</x:f>
        <x:v>0.06327497780526317</x:v>
      </x:c>
      <x:c r="J40" s="126" t="n">
        <x:v>0.16844095283292293</x:v>
      </x:c>
      <x:c r="K40" s="120" t="str">
        <x:v>已平仓</x:v>
      </x:c>
      <x:c r="L40" s="120" t="str">
        <x:f>IF(K40="未平仓","浮盈未实现",IF(I40&gt;='Data &amp; Targets'!$C$31,"大收益交易",IF(I40&lt;0,"亏损","普通盈利")))</x:f>
        <x:v>普通盈利</x:v>
      </x:c>
      <x:c r="M40" s="120" t="str">
        <x:v>EMA52-300 cross</x:v>
      </x:c>
      <x:c r="N40" s="120" t="str">
        <x:v>long_only</x:v>
      </x:c>
    </x:row>
    <x:row r="41" ht="23" customHeight="1">
      <x:c r="A41" s="120" t="str">
        <x:v>EMA21仅多</x:v>
      </x:c>
      <x:c r="B41" s="120" t="str">
        <x:v>多</x:v>
      </x:c>
      <x:c r="C41" s="124" t="n">
        <x:v>46229</x:v>
      </x:c>
      <x:c r="D41" s="124" t="n">
        <x:v>46231</x:v>
      </x:c>
      <x:c r="E41" s="125" t="n">
        <x:v>64375.01</x:v>
      </x:c>
      <x:c r="F41" s="125" t="n">
        <x:v>63755.86</x:v>
      </x:c>
      <x:c r="G41" s="120" t="n">
        <x:v>2</x:v>
      </x:c>
      <x:c r="H41" s="125" t="n">
        <x:v>-116.08244721049385</x:v>
      </x:c>
      <x:c r="I41" s="126" t="n">
        <x:f>H41/'Data &amp; Targets'!$C$34</x:f>
        <x:v>-0.011608244721049385</x:v>
      </x:c>
      <x:c r="J41" s="126" t="n">
        <x:v>0.021275181161136913</x:v>
      </x:c>
      <x:c r="K41" s="120" t="str">
        <x:v>已平仓</x:v>
      </x:c>
      <x:c r="L41" s="120" t="str">
        <x:f>IF(K41="未平仓","浮盈未实现",IF(I41&gt;='Data &amp; Targets'!$C$31,"大收益交易",IF(I41&lt;0,"亏损","普通盈利")))</x:f>
        <x:v>亏损</x:v>
      </x:c>
      <x:c r="M41" s="120" t="str">
        <x:v>EMA52-300 cross</x:v>
      </x:c>
      <x:c r="N41" s="120" t="str">
        <x:v>long_only</x:v>
      </x:c>
    </x:row>
    <x:row r="42" ht="23" customHeight="1">
      <x:c r="A42" s="120" t="str">
        <x:v>EMA21仅多</x:v>
      </x:c>
      <x:c r="B42" s="120" t="str">
        <x:v>多</x:v>
      </x:c>
      <x:c r="C42" s="124" t="n">
        <x:v>46234</x:v>
      </x:c>
      <x:c r="D42" s="124" t="n">
        <x:v>46235</x:v>
      </x:c>
      <x:c r="E42" s="125" t="n">
        <x:v>64780.03</x:v>
      </x:c>
      <x:c r="F42" s="125" t="n">
        <x:v>62887.88</x:v>
      </x:c>
      <x:c r="G42" s="120" t="n">
        <x:v>1</x:v>
      </x:c>
      <x:c r="H42" s="125" t="n">
        <x:v>-311.79638385471594</x:v>
      </x:c>
      <x:c r="I42" s="126" t="n">
        <x:f>H42/'Data &amp; Targets'!$C$34</x:f>
        <x:v>-0.031179638385471595</x:v>
      </x:c>
      <x:c r="J42" s="126" t="n">
        <x:v>0.009717964008352453</x:v>
      </x:c>
      <x:c r="K42" s="120" t="str">
        <x:v>已平仓</x:v>
      </x:c>
      <x:c r="L42" s="120" t="str">
        <x:f>IF(K42="未平仓","浮盈未实现",IF(I42&gt;='Data &amp; Targets'!$C$31,"大收益交易",IF(I42&lt;0,"亏损","普通盈利")))</x:f>
        <x:v>亏损</x:v>
      </x:c>
      <x:c r="M42" s="120" t="str">
        <x:v>EMA52-300 cross</x:v>
      </x:c>
      <x:c r="N42" s="120" t="str">
        <x:v>long_only</x:v>
      </x:c>
    </x:row>
    <x:row r="43" ht="23" customHeight="1">
      <x:c r="A43" s="120" t="str">
        <x:v>EMA21仅多</x:v>
      </x:c>
      <x:c r="B43" s="120" t="str">
        <x:v>多</x:v>
      </x:c>
      <x:c r="C43" s="124" t="n">
        <x:v>46239</x:v>
      </x:c>
      <x:c r="D43" s="124" t="n">
        <x:v>46241</x:v>
      </x:c>
      <x:c r="E43" s="125" t="n">
        <x:v>64106.55</x:v>
      </x:c>
      <x:c r="F43" s="125" t="n">
        <x:v>64323.61</x:v>
      </x:c>
      <x:c r="G43" s="120" t="n">
        <x:v>2</x:v>
      </x:c>
      <x:c r="H43" s="125" t="n">
        <x:v>13.8253953769151</x:v>
      </x:c>
      <x:c r="I43" s="126" t="n">
        <x:f>H43/'Data &amp; Targets'!$C$34</x:f>
        <x:v>0.00138253953769151</x:v>
      </x:c>
      <x:c r="J43" s="126" t="n">
        <x:v>0.014330360938156872</x:v>
      </x:c>
      <x:c r="K43" s="120" t="str">
        <x:v>已平仓</x:v>
      </x:c>
      <x:c r="L43" s="120" t="str">
        <x:f>IF(K43="未平仓","浮盈未实现",IF(I43&gt;='Data &amp; Targets'!$C$31,"大收益交易",IF(I43&lt;0,"亏损","普通盈利")))</x:f>
        <x:v>普通盈利</x:v>
      </x:c>
      <x:c r="M43" s="120" t="str">
        <x:v>EMA52-300 cross</x:v>
      </x:c>
      <x:c r="N43" s="120" t="str">
        <x:v>long_only</x:v>
      </x:c>
    </x:row>
    <x:row r="44" ht="23" customHeight="1">
      <x:c r="A44" s="120" t="str">
        <x:v>EMA21仅多</x:v>
      </x:c>
      <x:c r="B44" s="120" t="str">
        <x:v>多</x:v>
      </x:c>
      <x:c r="C44" s="124" t="n">
        <x:v>46252</x:v>
      </x:c>
      <x:c r="D44" s="124"/>
      <x:c r="E44" s="125" t="n">
        <x:v>64532.11</x:v>
      </x:c>
      <x:c r="F44" s="125" t="n">
        <x:v>80341.83</x:v>
      </x:c>
      <x:c r="G44" s="120" t="n">
        <x:v>19</x:v>
      </x:c>
      <x:c r="H44" s="125" t="n">
        <x:v>2439.899747583025</x:v>
      </x:c>
      <x:c r="I44" s="126" t="n">
        <x:f>H44/'Data &amp; Targets'!$C$34</x:f>
        <x:v>0.2439899747583025</x:v>
      </x:c>
      <x:c r="J44" s="126"/>
      <x:c r="K44" s="120" t="str">
        <x:v>未平仓</x:v>
      </x:c>
      <x:c r="L44" s="120" t="str">
        <x:f>IF(K44="未平仓","浮盈未实现",IF(I44&gt;='Data &amp; Targets'!$C$31,"大收益交易",IF(I44&lt;0,"亏损","普通盈利")))</x:f>
        <x:v>浮盈未实现</x:v>
      </x:c>
      <x:c r="M44" s="120" t="str">
        <x:v>期末按收盘估值；仅扣已付开仓费</x:v>
      </x:c>
      <x:c r="N44" s="120" t="str">
        <x:v>long_only</x:v>
      </x:c>
    </x:row>
    <x:row r="45" ht="23" customHeight="1">
      <x:c r="A45" s="120" t="str">
        <x:v>EMA25原退出</x:v>
      </x:c>
      <x:c r="B45" s="120" t="str">
        <x:v>多</x:v>
      </x:c>
      <x:c r="C45" s="124" t="n">
        <x:v>45372</x:v>
      </x:c>
      <x:c r="D45" s="124" t="n">
        <x:v>45396</x:v>
      </x:c>
      <x:c r="E45" s="125" t="n">
        <x:v>67840.51</x:v>
      </x:c>
      <x:c r="F45" s="125" t="n">
        <x:v>63924.52</x:v>
      </x:c>
      <x:c r="G45" s="120" t="n">
        <x:v>24</x:v>
      </x:c>
      <x:c r="H45" s="125" t="n">
        <x:v>-596.6575177574576</x:v>
      </x:c>
      <x:c r="I45" s="126" t="n">
        <x:f>H45/'Data &amp; Targets'!$C$34</x:f>
        <x:v>-0.05966575177574576</x:v>
      </x:c>
      <x:c r="J45" s="126" t="n">
        <x:v>0.07307551196180584</x:v>
      </x:c>
      <x:c r="K45" s="120" t="str">
        <x:v>已平仓</x:v>
      </x:c>
      <x:c r="L45" s="120" t="str">
        <x:f>IF(K45="未平仓","浮盈未实现",IF(I45&gt;='Data &amp; Targets'!$C$31,"大收益交易",IF(I45&lt;0,"亏损","普通盈利")))</x:f>
        <x:v>亏损</x:v>
      </x:c>
      <x:c r="M45" s="120" t="str">
        <x:v>EMA52-300 cross</x:v>
      </x:c>
      <x:c r="N45" s="120" t="str">
        <x:v>ema25</x:v>
      </x:c>
    </x:row>
    <x:row r="46" ht="23" customHeight="1">
      <x:c r="A46" s="120" t="str">
        <x:v>EMA25原退出</x:v>
      </x:c>
      <x:c r="B46" s="120" t="str">
        <x:v>多</x:v>
      </x:c>
      <x:c r="C46" s="124" t="n">
        <x:v>45405</x:v>
      </x:c>
      <x:c r="D46" s="124" t="n">
        <x:v>45409</x:v>
      </x:c>
      <x:c r="E46" s="125" t="n">
        <x:v>66819.32</x:v>
      </x:c>
      <x:c r="F46" s="125" t="n">
        <x:v>63770</x:v>
      </x:c>
      <x:c r="G46" s="120" t="n">
        <x:v>4</x:v>
      </x:c>
      <x:c r="H46" s="125" t="n">
        <x:v>-475.896689759789</x:v>
      </x:c>
      <x:c r="I46" s="126" t="n">
        <x:f>H46/'Data &amp; Targets'!$C$34</x:f>
        <x:v>-0.047589668975978903</x:v>
      </x:c>
      <x:c r="J46" s="126" t="n">
        <x:v>0.005442886877627506</x:v>
      </x:c>
      <x:c r="K46" s="120" t="str">
        <x:v>已平仓</x:v>
      </x:c>
      <x:c r="L46" s="120" t="str">
        <x:f>IF(K46="未平仓","浮盈未实现",IF(I46&gt;='Data &amp; Targets'!$C$31,"大收益交易",IF(I46&lt;0,"亏损","普通盈利")))</x:f>
        <x:v>亏损</x:v>
      </x:c>
      <x:c r="M46" s="120" t="str">
        <x:v>EMA52-300 cross</x:v>
      </x:c>
      <x:c r="N46" s="120" t="str">
        <x:v>ema25</x:v>
      </x:c>
    </x:row>
    <x:row r="47" ht="23" customHeight="1">
      <x:c r="A47" s="120" t="str">
        <x:v>EMA25原退出</x:v>
      </x:c>
      <x:c r="B47" s="120" t="str">
        <x:v>多</x:v>
      </x:c>
      <x:c r="C47" s="124" t="n">
        <x:v>45506</x:v>
      </x:c>
      <x:c r="D47" s="124" t="n">
        <x:v>45507</x:v>
      </x:c>
      <x:c r="E47" s="125" t="n">
        <x:v>65354.02</x:v>
      </x:c>
      <x:c r="F47" s="125" t="n">
        <x:v>61498.34</x:v>
      </x:c>
      <x:c r="G47" s="120" t="n">
        <x:v>1</x:v>
      </x:c>
      <x:c r="H47" s="125" t="n">
        <x:v>-609.378330514328</x:v>
      </x:c>
      <x:c r="I47" s="126" t="n">
        <x:f>H47/'Data &amp; Targets'!$C$34</x:f>
        <x:v>-0.0609378330514328</x:v>
      </x:c>
      <x:c r="J47" s="126" t="n">
        <x:v>0.00370474532400622</x:v>
      </x:c>
      <x:c r="K47" s="120" t="str">
        <x:v>已平仓</x:v>
      </x:c>
      <x:c r="L47" s="120" t="str">
        <x:f>IF(K47="未平仓","浮盈未实现",IF(I47&gt;='Data &amp; Targets'!$C$31,"大收益交易",IF(I47&lt;0,"亏损","普通盈利")))</x:f>
        <x:v>亏损</x:v>
      </x:c>
      <x:c r="M47" s="120" t="str">
        <x:v>EMA52-300 cross</x:v>
      </x:c>
      <x:c r="N47" s="120" t="str">
        <x:v>ema25</x:v>
      </x:c>
    </x:row>
    <x:row r="48" ht="23" customHeight="1">
      <x:c r="A48" s="120" t="str">
        <x:v>EMA25原退出</x:v>
      </x:c>
      <x:c r="B48" s="120" t="str">
        <x:v>多</x:v>
      </x:c>
      <x:c r="C48" s="124" t="n">
        <x:v>45570</x:v>
      </x:c>
      <x:c r="D48" s="124" t="n">
        <x:v>45575</x:v>
      </x:c>
      <x:c r="E48" s="125" t="n">
        <x:v>62086</x:v>
      </x:c>
      <x:c r="F48" s="125" t="n">
        <x:v>60636.01</x:v>
      </x:c>
      <x:c r="G48" s="120" t="n">
        <x:v>5</x:v>
      </x:c>
      <x:c r="H48" s="125" t="n">
        <x:v>-253.3118593563763</x:v>
      </x:c>
      <x:c r="I48" s="126" t="n">
        <x:f>H48/'Data &amp; Targets'!$C$34</x:f>
        <x:v>-0.02533118593563763</x:v>
      </x:c>
      <x:c r="J48" s="126" t="n">
        <x:v>0.0385302644718617</x:v>
      </x:c>
      <x:c r="K48" s="120" t="str">
        <x:v>已平仓</x:v>
      </x:c>
      <x:c r="L48" s="120" t="str">
        <x:f>IF(K48="未平仓","浮盈未实现",IF(I48&gt;='Data &amp; Targets'!$C$31,"大收益交易",IF(I48&lt;0,"亏损","普通盈利")))</x:f>
        <x:v>亏损</x:v>
      </x:c>
      <x:c r="M48" s="120" t="str">
        <x:v>EMA52-300 cross</x:v>
      </x:c>
      <x:c r="N48" s="120" t="str">
        <x:v>ema25</x:v>
      </x:c>
    </x:row>
    <x:row r="49" ht="23" customHeight="1">
      <x:c r="A49" s="120" t="str">
        <x:v>EMA25原退出</x:v>
      </x:c>
      <x:c r="B49" s="120" t="str">
        <x:v>多</x:v>
      </x:c>
      <x:c r="C49" s="124" t="n">
        <x:v>45577</x:v>
      </x:c>
      <x:c r="D49" s="124" t="n">
        <x:v>45667</x:v>
      </x:c>
      <x:c r="E49" s="125" t="n">
        <x:v>62539.99</x:v>
      </x:c>
      <x:c r="F49" s="125" t="n">
        <x:v>92552.49</x:v>
      </x:c>
      <x:c r="G49" s="120" t="n">
        <x:v>90</x:v>
      </x:c>
      <x:c r="H49" s="125" t="n">
        <x:v>4774.130523525829</x:v>
      </x:c>
      <x:c r="I49" s="126" t="n">
        <x:f>H49/'Data &amp; Targets'!$C$34</x:f>
        <x:v>0.47741305235258286</x:v>
      </x:c>
      <x:c r="J49" s="126" t="n">
        <x:v>0.7325394519570598</x:v>
      </x:c>
      <x:c r="K49" s="120" t="str">
        <x:v>已平仓</x:v>
      </x:c>
      <x:c r="L49" s="120" t="str">
        <x:f>IF(K49="未平仓","浮盈未实现",IF(I49&gt;='Data &amp; Targets'!$C$31,"大收益交易",IF(I49&lt;0,"亏损","普通盈利")))</x:f>
        <x:v>大收益交易</x:v>
      </x:c>
      <x:c r="M49" s="120" t="str">
        <x:v>EMA52-300 cross</x:v>
      </x:c>
      <x:c r="N49" s="120" t="str">
        <x:v>ema25</x:v>
      </x:c>
    </x:row>
    <x:row r="50" ht="23" customHeight="1">
      <x:c r="A50" s="120" t="str">
        <x:v>EMA25原退出</x:v>
      </x:c>
      <x:c r="B50" s="120" t="str">
        <x:v>多</x:v>
      </x:c>
      <x:c r="C50" s="124" t="n">
        <x:v>45672</x:v>
      </x:c>
      <x:c r="D50" s="124" t="n">
        <x:v>45691</x:v>
      </x:c>
      <x:c r="E50" s="125" t="n">
        <x:v>96560.85</x:v>
      </x:c>
      <x:c r="F50" s="125" t="n">
        <x:v>97700.59</x:v>
      </x:c>
      <x:c r="G50" s="120" t="n">
        <x:v>19</x:v>
      </x:c>
      <x:c r="H50" s="125" t="n">
        <x:v>97.91531039753592</x:v>
      </x:c>
      <x:c r="I50" s="126" t="n">
        <x:f>H50/'Data &amp; Targets'!$C$34</x:f>
        <x:v>0.009791531039753592</x:v>
      </x:c>
      <x:c r="J50" s="126" t="n">
        <x:v>0.13491130204425494</x:v>
      </x:c>
      <x:c r="K50" s="120" t="str">
        <x:v>已平仓</x:v>
      </x:c>
      <x:c r="L50" s="120" t="str">
        <x:f>IF(K50="未平仓","浮盈未实现",IF(I50&gt;='Data &amp; Targets'!$C$31,"大收益交易",IF(I50&lt;0,"亏损","普通盈利")))</x:f>
        <x:v>普通盈利</x:v>
      </x:c>
      <x:c r="M50" s="120" t="str">
        <x:v>EMA52-300 cross</x:v>
      </x:c>
      <x:c r="N50" s="120" t="str">
        <x:v>ema25</x:v>
      </x:c>
    </x:row>
    <x:row r="51" ht="23" customHeight="1">
      <x:c r="A51" s="120" t="str">
        <x:v>EMA25原退出</x:v>
      </x:c>
      <x:c r="B51" s="120" t="str">
        <x:v>多</x:v>
      </x:c>
      <x:c r="C51" s="124" t="n">
        <x:v>45692</x:v>
      </x:c>
      <x:c r="D51" s="124" t="n">
        <x:v>45693</x:v>
      </x:c>
      <x:c r="E51" s="125" t="n">
        <x:v>101328.51</x:v>
      </x:c>
      <x:c r="F51" s="125" t="n">
        <x:v>97763.14</x:v>
      </x:c>
      <x:c r="G51" s="120" t="n">
        <x:v>1</x:v>
      </x:c>
      <x:c r="H51" s="125" t="n">
        <x:v>-371.5106094030195</x:v>
      </x:c>
      <x:c r="I51" s="126" t="n">
        <x:f>H51/'Data &amp; Targets'!$C$34</x:f>
        <x:v>-0.03715106094030195</x:v>
      </x:c>
      <x:c r="J51" s="126" t="n">
        <x:v>0.0039850581045748346</x:v>
      </x:c>
      <x:c r="K51" s="120" t="str">
        <x:v>已平仓</x:v>
      </x:c>
      <x:c r="L51" s="120" t="str">
        <x:f>IF(K51="未平仓","浮盈未实现",IF(I51&gt;='Data &amp; Targets'!$C$31,"大收益交易",IF(I51&lt;0,"亏损","普通盈利")))</x:f>
        <x:v>亏损</x:v>
      </x:c>
      <x:c r="M51" s="120" t="str">
        <x:v>EMA52-300 cross</x:v>
      </x:c>
      <x:c r="N51" s="120" t="str">
        <x:v>ema25</x:v>
      </x:c>
    </x:row>
    <x:row r="52" ht="23" customHeight="1">
      <x:c r="A52" s="120" t="str">
        <x:v>EMA25原退出</x:v>
      </x:c>
      <x:c r="B52" s="120" t="str">
        <x:v>多</x:v>
      </x:c>
      <x:c r="C52" s="124" t="n">
        <x:v>45809</x:v>
      </x:c>
      <x:c r="D52" s="124" t="n">
        <x:v>45830</x:v>
      </x:c>
      <x:c r="E52" s="125" t="n">
        <x:v>104591.88</x:v>
      </x:c>
      <x:c r="F52" s="125" t="n">
        <x:v>102120.02</x:v>
      </x:c>
      <x:c r="G52" s="120" t="n">
        <x:v>21</x:v>
      </x:c>
      <x:c r="H52" s="125" t="n">
        <x:v>-256.0975001118634</x:v>
      </x:c>
      <x:c r="I52" s="126" t="n">
        <x:f>H52/'Data &amp; Targets'!$C$34</x:f>
        <x:v>-0.025609750011186337</x:v>
      </x:c>
      <x:c r="J52" s="126" t="n">
        <x:v>0.056775822367854945</x:v>
      </x:c>
      <x:c r="K52" s="120" t="str">
        <x:v>已平仓</x:v>
      </x:c>
      <x:c r="L52" s="120" t="str">
        <x:f>IF(K52="未平仓","浮盈未实现",IF(I52&gt;='Data &amp; Targets'!$C$31,"大收益交易",IF(I52&lt;0,"亏损","普通盈利")))</x:f>
        <x:v>亏损</x:v>
      </x:c>
      <x:c r="M52" s="120" t="str">
        <x:v>EMA52-300 cross</x:v>
      </x:c>
      <x:c r="N52" s="120" t="str">
        <x:v>ema25</x:v>
      </x:c>
    </x:row>
    <x:row r="53" ht="23" customHeight="1">
      <x:c r="A53" s="120" t="str">
        <x:v>EMA25原退出</x:v>
      </x:c>
      <x:c r="B53" s="120" t="str">
        <x:v>多</x:v>
      </x:c>
      <x:c r="C53" s="124" t="n">
        <x:v>45832</x:v>
      </x:c>
      <x:c r="D53" s="124" t="n">
        <x:v>45889</x:v>
      </x:c>
      <x:c r="E53" s="125" t="n">
        <x:v>105333.94</x:v>
      </x:c>
      <x:c r="F53" s="125" t="n">
        <x:v>112872.95</x:v>
      </x:c>
      <x:c r="G53" s="120" t="n">
        <x:v>57</x:v>
      </x:c>
      <x:c r="H53" s="125" t="n">
        <x:v>695.0089505813601</x:v>
      </x:c>
      <x:c r="I53" s="126" t="n">
        <x:f>H53/'Data &amp; Targets'!$C$34</x:f>
        <x:v>0.069500895058136</x:v>
      </x:c>
      <x:c r="J53" s="126" t="n">
        <x:v>0.18170838383146015</x:v>
      </x:c>
      <x:c r="K53" s="120" t="str">
        <x:v>已平仓</x:v>
      </x:c>
      <x:c r="L53" s="120" t="str">
        <x:f>IF(K53="未平仓","浮盈未实现",IF(I53&gt;='Data &amp; Targets'!$C$31,"大收益交易",IF(I53&lt;0,"亏损","普通盈利")))</x:f>
        <x:v>普通盈利</x:v>
      </x:c>
      <x:c r="M53" s="120" t="str">
        <x:v>EMA52-300 cross</x:v>
      </x:c>
      <x:c r="N53" s="120" t="str">
        <x:v>ema25</x:v>
      </x:c>
    </x:row>
    <x:row r="54" ht="23" customHeight="1">
      <x:c r="A54" s="120" t="str">
        <x:v>EMA25原退出</x:v>
      </x:c>
      <x:c r="B54" s="120" t="str">
        <x:v>多</x:v>
      </x:c>
      <x:c r="C54" s="124" t="n">
        <x:v>45892</x:v>
      </x:c>
      <x:c r="D54" s="124" t="n">
        <x:v>45894</x:v>
      </x:c>
      <x:c r="E54" s="125" t="n">
        <x:v>116936</x:v>
      </x:c>
      <x:c r="F54" s="125" t="n">
        <x:v>113493.59</x:v>
      </x:c>
      <x:c r="G54" s="120" t="n">
        <x:v>2</x:v>
      </x:c>
      <x:c r="H54" s="125" t="n">
        <x:v>-314.08972343846233</x:v>
      </x:c>
      <x:c r="I54" s="126" t="n">
        <x:f>H54/'Data &amp; Targets'!$C$34</x:f>
        <x:v>-0.03140897234384623</x:v>
      </x:c>
      <x:c r="J54" s="126" t="n">
        <x:v>0.000803858520900258</x:v>
      </x:c>
      <x:c r="K54" s="120" t="str">
        <x:v>已平仓</x:v>
      </x:c>
      <x:c r="L54" s="120" t="str">
        <x:f>IF(K54="未平仓","浮盈未实现",IF(I54&gt;='Data &amp; Targets'!$C$31,"大收益交易",IF(I54&lt;0,"亏损","普通盈利")))</x:f>
        <x:v>亏损</x:v>
      </x:c>
      <x:c r="M54" s="120" t="str">
        <x:v>EMA52-300 cross</x:v>
      </x:c>
      <x:c r="N54" s="120" t="str">
        <x:v>ema25</x:v>
      </x:c>
    </x:row>
    <x:row r="55" ht="23" customHeight="1">
      <x:c r="A55" s="120" t="str">
        <x:v>EMA25原退出</x:v>
      </x:c>
      <x:c r="B55" s="120" t="str">
        <x:v>多</x:v>
      </x:c>
      <x:c r="C55" s="124" t="n">
        <x:v>45930</x:v>
      </x:c>
      <x:c r="D55" s="124" t="n">
        <x:v>45941</x:v>
      </x:c>
      <x:c r="E55" s="125" t="n">
        <x:v>114311.97</x:v>
      </x:c>
      <x:c r="F55" s="125" t="n">
        <x:v>112774.49</x:v>
      </x:c>
      <x:c r="G55" s="120" t="n">
        <x:v>11</x:v>
      </x:c>
      <x:c r="H55" s="125" t="n">
        <x:v>-154.36410202711016</x:v>
      </x:c>
      <x:c r="I55" s="126" t="n">
        <x:f>H55/'Data &amp; Targets'!$C$34</x:f>
        <x:v>-0.015436410202711016</x:v>
      </x:c>
      <x:c r="J55" s="126" t="n">
        <x:v>0.10399313387740584</x:v>
      </x:c>
      <x:c r="K55" s="120" t="str">
        <x:v>已平仓</x:v>
      </x:c>
      <x:c r="L55" s="120" t="str">
        <x:f>IF(K55="未平仓","浮盈未实现",IF(I55&gt;='Data &amp; Targets'!$C$31,"大收益交易",IF(I55&lt;0,"亏损","普通盈利")))</x:f>
        <x:v>亏损</x:v>
      </x:c>
      <x:c r="M55" s="120" t="str">
        <x:v>EMA52-300 cross</x:v>
      </x:c>
      <x:c r="N55" s="120" t="str">
        <x:v>ema25</x:v>
      </x:c>
    </x:row>
    <x:row r="56" ht="23" customHeight="1">
      <x:c r="A56" s="120" t="str">
        <x:v>EMA25原退出</x:v>
      </x:c>
      <x:c r="B56" s="120" t="str">
        <x:v>多</x:v>
      </x:c>
      <x:c r="C56" s="124" t="n">
        <x:v>46105</x:v>
      </x:c>
      <x:c r="D56" s="124" t="n">
        <x:v>46165</x:v>
      </x:c>
      <x:c r="E56" s="125" t="n">
        <x:v>70906.45</x:v>
      </x:c>
      <x:c r="F56" s="125" t="n">
        <x:v>75539.5</x:v>
      </x:c>
      <x:c r="G56" s="120" t="n">
        <x:v>60</x:v>
      </x:c>
      <x:c r="H56" s="125" t="n">
        <x:v>632.7497780526317</x:v>
      </x:c>
      <x:c r="I56" s="126" t="n">
        <x:f>H56/'Data &amp; Targets'!$C$34</x:f>
        <x:v>0.06327497780526317</x:v>
      </x:c>
      <x:c r="J56" s="126" t="n">
        <x:v>0.16844095283292293</x:v>
      </x:c>
      <x:c r="K56" s="120" t="str">
        <x:v>已平仓</x:v>
      </x:c>
      <x:c r="L56" s="120" t="str">
        <x:f>IF(K56="未平仓","浮盈未实现",IF(I56&gt;='Data &amp; Targets'!$C$31,"大收益交易",IF(I56&lt;0,"亏损","普通盈利")))</x:f>
        <x:v>普通盈利</x:v>
      </x:c>
      <x:c r="M56" s="120" t="str">
        <x:v>EMA52-300 cross</x:v>
      </x:c>
      <x:c r="N56" s="120" t="str">
        <x:v>ema25</x:v>
      </x:c>
    </x:row>
    <x:row r="57" ht="23" customHeight="1">
      <x:c r="A57" s="120" t="str">
        <x:v>EMA25原退出</x:v>
      </x:c>
      <x:c r="B57" s="120" t="str">
        <x:v>多</x:v>
      </x:c>
      <x:c r="C57" s="124" t="n">
        <x:v>46229</x:v>
      </x:c>
      <x:c r="D57" s="124" t="n">
        <x:v>46231</x:v>
      </x:c>
      <x:c r="E57" s="125" t="n">
        <x:v>64375.01</x:v>
      </x:c>
      <x:c r="F57" s="125" t="n">
        <x:v>63755.86</x:v>
      </x:c>
      <x:c r="G57" s="120" t="n">
        <x:v>2</x:v>
      </x:c>
      <x:c r="H57" s="125" t="n">
        <x:v>-116.08244721049385</x:v>
      </x:c>
      <x:c r="I57" s="126" t="n">
        <x:f>H57/'Data &amp; Targets'!$C$34</x:f>
        <x:v>-0.011608244721049385</x:v>
      </x:c>
      <x:c r="J57" s="126" t="n">
        <x:v>0.021275181161136913</x:v>
      </x:c>
      <x:c r="K57" s="120" t="str">
        <x:v>已平仓</x:v>
      </x:c>
      <x:c r="L57" s="120" t="str">
        <x:f>IF(K57="未平仓","浮盈未实现",IF(I57&gt;='Data &amp; Targets'!$C$31,"大收益交易",IF(I57&lt;0,"亏损","普通盈利")))</x:f>
        <x:v>亏损</x:v>
      </x:c>
      <x:c r="M57" s="120" t="str">
        <x:v>EMA52-300 cross</x:v>
      </x:c>
      <x:c r="N57" s="120" t="str">
        <x:v>ema25</x:v>
      </x:c>
    </x:row>
    <x:row r="58" ht="23" customHeight="1">
      <x:c r="A58" s="120" t="str">
        <x:v>EMA25原退出</x:v>
      </x:c>
      <x:c r="B58" s="120" t="str">
        <x:v>多</x:v>
      </x:c>
      <x:c r="C58" s="124" t="n">
        <x:v>46234</x:v>
      </x:c>
      <x:c r="D58" s="124" t="n">
        <x:v>46235</x:v>
      </x:c>
      <x:c r="E58" s="125" t="n">
        <x:v>64780.03</x:v>
      </x:c>
      <x:c r="F58" s="125" t="n">
        <x:v>62887.88</x:v>
      </x:c>
      <x:c r="G58" s="120" t="n">
        <x:v>1</x:v>
      </x:c>
      <x:c r="H58" s="125" t="n">
        <x:v>-311.79638385471594</x:v>
      </x:c>
      <x:c r="I58" s="126" t="n">
        <x:f>H58/'Data &amp; Targets'!$C$34</x:f>
        <x:v>-0.031179638385471595</x:v>
      </x:c>
      <x:c r="J58" s="126" t="n">
        <x:v>0.009717964008352453</x:v>
      </x:c>
      <x:c r="K58" s="120" t="str">
        <x:v>已平仓</x:v>
      </x:c>
      <x:c r="L58" s="120" t="str">
        <x:f>IF(K58="未平仓","浮盈未实现",IF(I58&gt;='Data &amp; Targets'!$C$31,"大收益交易",IF(I58&lt;0,"亏损","普通盈利")))</x:f>
        <x:v>亏损</x:v>
      </x:c>
      <x:c r="M58" s="120" t="str">
        <x:v>EMA52-300 cross</x:v>
      </x:c>
      <x:c r="N58" s="120" t="str">
        <x:v>ema25</x:v>
      </x:c>
    </x:row>
    <x:row r="59" ht="23" customHeight="1">
      <x:c r="A59" s="120" t="str">
        <x:v>EMA25原退出</x:v>
      </x:c>
      <x:c r="B59" s="120" t="str">
        <x:v>多</x:v>
      </x:c>
      <x:c r="C59" s="124" t="n">
        <x:v>46239</x:v>
      </x:c>
      <x:c r="D59" s="124" t="n">
        <x:v>46241</x:v>
      </x:c>
      <x:c r="E59" s="125" t="n">
        <x:v>64106.55</x:v>
      </x:c>
      <x:c r="F59" s="125" t="n">
        <x:v>64323.61</x:v>
      </x:c>
      <x:c r="G59" s="120" t="n">
        <x:v>2</x:v>
      </x:c>
      <x:c r="H59" s="125" t="n">
        <x:v>13.8253953769151</x:v>
      </x:c>
      <x:c r="I59" s="126" t="n">
        <x:f>H59/'Data &amp; Targets'!$C$34</x:f>
        <x:v>0.00138253953769151</x:v>
      </x:c>
      <x:c r="J59" s="126" t="n">
        <x:v>0.014330360938156872</x:v>
      </x:c>
      <x:c r="K59" s="120" t="str">
        <x:v>已平仓</x:v>
      </x:c>
      <x:c r="L59" s="120" t="str">
        <x:f>IF(K59="未平仓","浮盈未实现",IF(I59&gt;='Data &amp; Targets'!$C$31,"大收益交易",IF(I59&lt;0,"亏损","普通盈利")))</x:f>
        <x:v>普通盈利</x:v>
      </x:c>
      <x:c r="M59" s="120" t="str">
        <x:v>EMA52-300 cross</x:v>
      </x:c>
      <x:c r="N59" s="120" t="str">
        <x:v>ema25</x:v>
      </x:c>
    </x:row>
    <x:row r="60" ht="23" customHeight="1">
      <x:c r="A60" s="120" t="str">
        <x:v>EMA25原退出</x:v>
      </x:c>
      <x:c r="B60" s="120" t="str">
        <x:v>多</x:v>
      </x:c>
      <x:c r="C60" s="124" t="n">
        <x:v>46252</x:v>
      </x:c>
      <x:c r="D60" s="124"/>
      <x:c r="E60" s="125" t="n">
        <x:v>64532.11</x:v>
      </x:c>
      <x:c r="F60" s="125" t="n">
        <x:v>80341.83</x:v>
      </x:c>
      <x:c r="G60" s="120" t="n">
        <x:v>19</x:v>
      </x:c>
      <x:c r="H60" s="125" t="n">
        <x:v>2439.899747583025</x:v>
      </x:c>
      <x:c r="I60" s="126" t="n">
        <x:f>H60/'Data &amp; Targets'!$C$34</x:f>
        <x:v>0.2439899747583025</x:v>
      </x:c>
      <x:c r="J60" s="126"/>
      <x:c r="K60" s="120" t="str">
        <x:v>未平仓</x:v>
      </x:c>
      <x:c r="L60" s="120" t="str">
        <x:f>IF(K60="未平仓","浮盈未实现",IF(I60&gt;='Data &amp; Targets'!$C$31,"大收益交易",IF(I60&lt;0,"亏损","普通盈利")))</x:f>
        <x:v>浮盈未实现</x:v>
      </x:c>
      <x:c r="M60" s="120" t="str">
        <x:v>期末按收盘估值；仅扣已付开仓费</x:v>
      </x:c>
      <x:c r="N60" s="120" t="str">
        <x:v>ema25</x:v>
      </x:c>
    </x:row>
    <x:row r="61" ht="23" customHeight="1">
      <x:c r="A61" s="120" t="str">
        <x:v>EMA25持续低于52−300</x:v>
      </x:c>
      <x:c r="B61" s="120" t="str">
        <x:v>多</x:v>
      </x:c>
      <x:c r="C61" s="124" t="n">
        <x:v>45372</x:v>
      </x:c>
      <x:c r="D61" s="124" t="n">
        <x:v>45396</x:v>
      </x:c>
      <x:c r="E61" s="125" t="n">
        <x:v>67840.51</x:v>
      </x:c>
      <x:c r="F61" s="125" t="n">
        <x:v>63924.52</x:v>
      </x:c>
      <x:c r="G61" s="120" t="n">
        <x:v>24</x:v>
      </x:c>
      <x:c r="H61" s="125" t="n">
        <x:v>-596.6575177574576</x:v>
      </x:c>
      <x:c r="I61" s="126" t="n">
        <x:f>H61/'Data &amp; Targets'!$C$34</x:f>
        <x:v>-0.05966575177574576</x:v>
      </x:c>
      <x:c r="J61" s="126" t="n">
        <x:v>0.07307551196180584</x:v>
      </x:c>
      <x:c r="K61" s="120" t="str">
        <x:v>已平仓</x:v>
      </x:c>
      <x:c r="L61" s="120" t="str">
        <x:f>IF(K61="未平仓","浮盈未实现",IF(I61&gt;='Data &amp; Targets'!$C$31,"大收益交易",IF(I61&lt;0,"亏损","普通盈利")))</x:f>
        <x:v>亏损</x:v>
      </x:c>
      <x:c r="M61" s="120" t="str">
        <x:v>EMA52-300 level</x:v>
      </x:c>
      <x:c r="N61" s="120" t="str">
        <x:v>level</x:v>
      </x:c>
    </x:row>
    <x:row r="62" ht="23" customHeight="1">
      <x:c r="A62" s="120" t="str">
        <x:v>EMA25持续低于52−300</x:v>
      </x:c>
      <x:c r="B62" s="120" t="str">
        <x:v>多</x:v>
      </x:c>
      <x:c r="C62" s="124" t="n">
        <x:v>45405</x:v>
      </x:c>
      <x:c r="D62" s="124" t="n">
        <x:v>45409</x:v>
      </x:c>
      <x:c r="E62" s="125" t="n">
        <x:v>66819.32</x:v>
      </x:c>
      <x:c r="F62" s="125" t="n">
        <x:v>63770</x:v>
      </x:c>
      <x:c r="G62" s="120" t="n">
        <x:v>4</x:v>
      </x:c>
      <x:c r="H62" s="125" t="n">
        <x:v>-475.896689759789</x:v>
      </x:c>
      <x:c r="I62" s="126" t="n">
        <x:f>H62/'Data &amp; Targets'!$C$34</x:f>
        <x:v>-0.047589668975978903</x:v>
      </x:c>
      <x:c r="J62" s="126" t="n">
        <x:v>0.005442886877627506</x:v>
      </x:c>
      <x:c r="K62" s="120" t="str">
        <x:v>已平仓</x:v>
      </x:c>
      <x:c r="L62" s="120" t="str">
        <x:f>IF(K62="未平仓","浮盈未实现",IF(I62&gt;='Data &amp; Targets'!$C$31,"大收益交易",IF(I62&lt;0,"亏损","普通盈利")))</x:f>
        <x:v>亏损</x:v>
      </x:c>
      <x:c r="M62" s="120" t="str">
        <x:v>EMA52-300 level</x:v>
      </x:c>
      <x:c r="N62" s="120" t="str">
        <x:v>level</x:v>
      </x:c>
    </x:row>
    <x:row r="63" ht="23" customHeight="1">
      <x:c r="A63" s="120" t="str">
        <x:v>EMA25持续低于52−300</x:v>
      </x:c>
      <x:c r="B63" s="120" t="str">
        <x:v>多</x:v>
      </x:c>
      <x:c r="C63" s="124" t="n">
        <x:v>45506</x:v>
      </x:c>
      <x:c r="D63" s="124" t="n">
        <x:v>45507</x:v>
      </x:c>
      <x:c r="E63" s="125" t="n">
        <x:v>65354.02</x:v>
      </x:c>
      <x:c r="F63" s="125" t="n">
        <x:v>61498.34</x:v>
      </x:c>
      <x:c r="G63" s="120" t="n">
        <x:v>1</x:v>
      </x:c>
      <x:c r="H63" s="125" t="n">
        <x:v>-609.378330514328</x:v>
      </x:c>
      <x:c r="I63" s="126" t="n">
        <x:f>H63/'Data &amp; Targets'!$C$34</x:f>
        <x:v>-0.0609378330514328</x:v>
      </x:c>
      <x:c r="J63" s="126" t="n">
        <x:v>0.00370474532400622</x:v>
      </x:c>
      <x:c r="K63" s="120" t="str">
        <x:v>已平仓</x:v>
      </x:c>
      <x:c r="L63" s="120" t="str">
        <x:f>IF(K63="未平仓","浮盈未实现",IF(I63&gt;='Data &amp; Targets'!$C$31,"大收益交易",IF(I63&lt;0,"亏损","普通盈利")))</x:f>
        <x:v>亏损</x:v>
      </x:c>
      <x:c r="M63" s="120" t="str">
        <x:v>EMA52-300 level</x:v>
      </x:c>
      <x:c r="N63" s="120" t="str">
        <x:v>level</x:v>
      </x:c>
    </x:row>
    <x:row r="64" ht="23" customHeight="1">
      <x:c r="A64" s="120" t="str">
        <x:v>EMA25持续低于52−300</x:v>
      </x:c>
      <x:c r="B64" s="120" t="str">
        <x:v>多</x:v>
      </x:c>
      <x:c r="C64" s="124" t="n">
        <x:v>45570</x:v>
      </x:c>
      <x:c r="D64" s="124" t="n">
        <x:v>45575</x:v>
      </x:c>
      <x:c r="E64" s="125" t="n">
        <x:v>62086</x:v>
      </x:c>
      <x:c r="F64" s="125" t="n">
        <x:v>60636.01</x:v>
      </x:c>
      <x:c r="G64" s="120" t="n">
        <x:v>5</x:v>
      </x:c>
      <x:c r="H64" s="125" t="n">
        <x:v>-253.3118593563763</x:v>
      </x:c>
      <x:c r="I64" s="126" t="n">
        <x:f>H64/'Data &amp; Targets'!$C$34</x:f>
        <x:v>-0.02533118593563763</x:v>
      </x:c>
      <x:c r="J64" s="126" t="n">
        <x:v>0.0385302644718617</x:v>
      </x:c>
      <x:c r="K64" s="120" t="str">
        <x:v>已平仓</x:v>
      </x:c>
      <x:c r="L64" s="120" t="str">
        <x:f>IF(K64="未平仓","浮盈未实现",IF(I64&gt;='Data &amp; Targets'!$C$31,"大收益交易",IF(I64&lt;0,"亏损","普通盈利")))</x:f>
        <x:v>亏损</x:v>
      </x:c>
      <x:c r="M64" s="120" t="str">
        <x:v>EMA52-300 level</x:v>
      </x:c>
      <x:c r="N64" s="120" t="str">
        <x:v>level</x:v>
      </x:c>
    </x:row>
    <x:row r="65" ht="23" customHeight="1">
      <x:c r="A65" s="120" t="str">
        <x:v>EMA25持续低于52−300</x:v>
      </x:c>
      <x:c r="B65" s="120" t="str">
        <x:v>多</x:v>
      </x:c>
      <x:c r="C65" s="124" t="n">
        <x:v>45577</x:v>
      </x:c>
      <x:c r="D65" s="124" t="n">
        <x:v>45667</x:v>
      </x:c>
      <x:c r="E65" s="125" t="n">
        <x:v>62539.99</x:v>
      </x:c>
      <x:c r="F65" s="125" t="n">
        <x:v>92552.49</x:v>
      </x:c>
      <x:c r="G65" s="120" t="n">
        <x:v>90</x:v>
      </x:c>
      <x:c r="H65" s="125" t="n">
        <x:v>4774.130523525829</x:v>
      </x:c>
      <x:c r="I65" s="126" t="n">
        <x:f>H65/'Data &amp; Targets'!$C$34</x:f>
        <x:v>0.47741305235258286</x:v>
      </x:c>
      <x:c r="J65" s="126" t="n">
        <x:v>0.7325394519570598</x:v>
      </x:c>
      <x:c r="K65" s="120" t="str">
        <x:v>已平仓</x:v>
      </x:c>
      <x:c r="L65" s="120" t="str">
        <x:f>IF(K65="未平仓","浮盈未实现",IF(I65&gt;='Data &amp; Targets'!$C$31,"大收益交易",IF(I65&lt;0,"亏损","普通盈利")))</x:f>
        <x:v>大收益交易</x:v>
      </x:c>
      <x:c r="M65" s="120" t="str">
        <x:v>EMA52-300 level</x:v>
      </x:c>
      <x:c r="N65" s="120" t="str">
        <x:v>level</x:v>
      </x:c>
    </x:row>
    <x:row r="66" ht="23" customHeight="1">
      <x:c r="A66" s="120" t="str">
        <x:v>EMA25持续低于52−300</x:v>
      </x:c>
      <x:c r="B66" s="120" t="str">
        <x:v>多</x:v>
      </x:c>
      <x:c r="C66" s="124" t="n">
        <x:v>45672</x:v>
      </x:c>
      <x:c r="D66" s="124" t="n">
        <x:v>45691</x:v>
      </x:c>
      <x:c r="E66" s="125" t="n">
        <x:v>96560.85</x:v>
      </x:c>
      <x:c r="F66" s="125" t="n">
        <x:v>97700.59</x:v>
      </x:c>
      <x:c r="G66" s="120" t="n">
        <x:v>19</x:v>
      </x:c>
      <x:c r="H66" s="125" t="n">
        <x:v>97.91531039753592</x:v>
      </x:c>
      <x:c r="I66" s="126" t="n">
        <x:f>H66/'Data &amp; Targets'!$C$34</x:f>
        <x:v>0.009791531039753592</x:v>
      </x:c>
      <x:c r="J66" s="126" t="n">
        <x:v>0.13491130204425494</x:v>
      </x:c>
      <x:c r="K66" s="120" t="str">
        <x:v>已平仓</x:v>
      </x:c>
      <x:c r="L66" s="120" t="str">
        <x:f>IF(K66="未平仓","浮盈未实现",IF(I66&gt;='Data &amp; Targets'!$C$31,"大收益交易",IF(I66&lt;0,"亏损","普通盈利")))</x:f>
        <x:v>普通盈利</x:v>
      </x:c>
      <x:c r="M66" s="120" t="str">
        <x:v>EMA52-300 level</x:v>
      </x:c>
      <x:c r="N66" s="120" t="str">
        <x:v>level</x:v>
      </x:c>
    </x:row>
    <x:row r="67" ht="23" customHeight="1">
      <x:c r="A67" s="120" t="str">
        <x:v>EMA25持续低于52−300</x:v>
      </x:c>
      <x:c r="B67" s="120" t="str">
        <x:v>多</x:v>
      </x:c>
      <x:c r="C67" s="124" t="n">
        <x:v>45692</x:v>
      </x:c>
      <x:c r="D67" s="124" t="n">
        <x:v>45693</x:v>
      </x:c>
      <x:c r="E67" s="125" t="n">
        <x:v>101328.51</x:v>
      </x:c>
      <x:c r="F67" s="125" t="n">
        <x:v>97763.14</x:v>
      </x:c>
      <x:c r="G67" s="120" t="n">
        <x:v>1</x:v>
      </x:c>
      <x:c r="H67" s="125" t="n">
        <x:v>-371.5106094030195</x:v>
      </x:c>
      <x:c r="I67" s="126" t="n">
        <x:f>H67/'Data &amp; Targets'!$C$34</x:f>
        <x:v>-0.03715106094030195</x:v>
      </x:c>
      <x:c r="J67" s="126" t="n">
        <x:v>0.0039850581045748346</x:v>
      </x:c>
      <x:c r="K67" s="120" t="str">
        <x:v>已平仓</x:v>
      </x:c>
      <x:c r="L67" s="120" t="str">
        <x:f>IF(K67="未平仓","浮盈未实现",IF(I67&gt;='Data &amp; Targets'!$C$31,"大收益交易",IF(I67&lt;0,"亏损","普通盈利")))</x:f>
        <x:v>亏损</x:v>
      </x:c>
      <x:c r="M67" s="120" t="str">
        <x:v>EMA52-300 level</x:v>
      </x:c>
      <x:c r="N67" s="120" t="str">
        <x:v>level</x:v>
      </x:c>
    </x:row>
    <x:row r="68" ht="23" customHeight="1">
      <x:c r="A68" s="120" t="str">
        <x:v>EMA25持续低于52−300</x:v>
      </x:c>
      <x:c r="B68" s="120" t="str">
        <x:v>多</x:v>
      </x:c>
      <x:c r="C68" s="124" t="n">
        <x:v>45809</x:v>
      </x:c>
      <x:c r="D68" s="124" t="n">
        <x:v>45830</x:v>
      </x:c>
      <x:c r="E68" s="125" t="n">
        <x:v>104591.88</x:v>
      </x:c>
      <x:c r="F68" s="125" t="n">
        <x:v>102120.02</x:v>
      </x:c>
      <x:c r="G68" s="120" t="n">
        <x:v>21</x:v>
      </x:c>
      <x:c r="H68" s="125" t="n">
        <x:v>-256.0975001118634</x:v>
      </x:c>
      <x:c r="I68" s="126" t="n">
        <x:f>H68/'Data &amp; Targets'!$C$34</x:f>
        <x:v>-0.025609750011186337</x:v>
      </x:c>
      <x:c r="J68" s="126" t="n">
        <x:v>0.056775822367854945</x:v>
      </x:c>
      <x:c r="K68" s="120" t="str">
        <x:v>已平仓</x:v>
      </x:c>
      <x:c r="L68" s="120" t="str">
        <x:f>IF(K68="未平仓","浮盈未实现",IF(I68&gt;='Data &amp; Targets'!$C$31,"大收益交易",IF(I68&lt;0,"亏损","普通盈利")))</x:f>
        <x:v>亏损</x:v>
      </x:c>
      <x:c r="M68" s="120" t="str">
        <x:v>EMA52-300 level</x:v>
      </x:c>
      <x:c r="N68" s="120" t="str">
        <x:v>level</x:v>
      </x:c>
    </x:row>
    <x:row r="69" ht="23" customHeight="1">
      <x:c r="A69" s="120" t="str">
        <x:v>EMA25持续低于52−300</x:v>
      </x:c>
      <x:c r="B69" s="120" t="str">
        <x:v>多</x:v>
      </x:c>
      <x:c r="C69" s="124" t="n">
        <x:v>45832</x:v>
      </x:c>
      <x:c r="D69" s="124" t="n">
        <x:v>45889</x:v>
      </x:c>
      <x:c r="E69" s="125" t="n">
        <x:v>105333.94</x:v>
      </x:c>
      <x:c r="F69" s="125" t="n">
        <x:v>112872.95</x:v>
      </x:c>
      <x:c r="G69" s="120" t="n">
        <x:v>57</x:v>
      </x:c>
      <x:c r="H69" s="125" t="n">
        <x:v>695.0089505813601</x:v>
      </x:c>
      <x:c r="I69" s="126" t="n">
        <x:f>H69/'Data &amp; Targets'!$C$34</x:f>
        <x:v>0.069500895058136</x:v>
      </x:c>
      <x:c r="J69" s="126" t="n">
        <x:v>0.18170838383146015</x:v>
      </x:c>
      <x:c r="K69" s="120" t="str">
        <x:v>已平仓</x:v>
      </x:c>
      <x:c r="L69" s="120" t="str">
        <x:f>IF(K69="未平仓","浮盈未实现",IF(I69&gt;='Data &amp; Targets'!$C$31,"大收益交易",IF(I69&lt;0,"亏损","普通盈利")))</x:f>
        <x:v>普通盈利</x:v>
      </x:c>
      <x:c r="M69" s="120" t="str">
        <x:v>EMA52-300 level</x:v>
      </x:c>
      <x:c r="N69" s="120" t="str">
        <x:v>level</x:v>
      </x:c>
    </x:row>
    <x:row r="70" ht="23" customHeight="1">
      <x:c r="A70" s="120" t="str">
        <x:v>EMA25持续低于52−300</x:v>
      </x:c>
      <x:c r="B70" s="120" t="str">
        <x:v>多</x:v>
      </x:c>
      <x:c r="C70" s="124" t="n">
        <x:v>45892</x:v>
      </x:c>
      <x:c r="D70" s="124" t="n">
        <x:v>45894</x:v>
      </x:c>
      <x:c r="E70" s="125" t="n">
        <x:v>116936</x:v>
      </x:c>
      <x:c r="F70" s="125" t="n">
        <x:v>113493.59</x:v>
      </x:c>
      <x:c r="G70" s="120" t="n">
        <x:v>2</x:v>
      </x:c>
      <x:c r="H70" s="125" t="n">
        <x:v>-314.08972343846233</x:v>
      </x:c>
      <x:c r="I70" s="126" t="n">
        <x:f>H70/'Data &amp; Targets'!$C$34</x:f>
        <x:v>-0.03140897234384623</x:v>
      </x:c>
      <x:c r="J70" s="126" t="n">
        <x:v>0.000803858520900258</x:v>
      </x:c>
      <x:c r="K70" s="120" t="str">
        <x:v>已平仓</x:v>
      </x:c>
      <x:c r="L70" s="120" t="str">
        <x:f>IF(K70="未平仓","浮盈未实现",IF(I70&gt;='Data &amp; Targets'!$C$31,"大收益交易",IF(I70&lt;0,"亏损","普通盈利")))</x:f>
        <x:v>亏损</x:v>
      </x:c>
      <x:c r="M70" s="120" t="str">
        <x:v>EMA52-300 level</x:v>
      </x:c>
      <x:c r="N70" s="120" t="str">
        <x:v>level</x:v>
      </x:c>
    </x:row>
    <x:row r="71" ht="23" customHeight="1">
      <x:c r="A71" s="120" t="str">
        <x:v>EMA25持续低于52−300</x:v>
      </x:c>
      <x:c r="B71" s="120" t="str">
        <x:v>多</x:v>
      </x:c>
      <x:c r="C71" s="124" t="n">
        <x:v>45930</x:v>
      </x:c>
      <x:c r="D71" s="124" t="n">
        <x:v>45941</x:v>
      </x:c>
      <x:c r="E71" s="125" t="n">
        <x:v>114311.97</x:v>
      </x:c>
      <x:c r="F71" s="125" t="n">
        <x:v>112774.49</x:v>
      </x:c>
      <x:c r="G71" s="120" t="n">
        <x:v>11</x:v>
      </x:c>
      <x:c r="H71" s="125" t="n">
        <x:v>-154.36410202711016</x:v>
      </x:c>
      <x:c r="I71" s="126" t="n">
        <x:f>H71/'Data &amp; Targets'!$C$34</x:f>
        <x:v>-0.015436410202711016</x:v>
      </x:c>
      <x:c r="J71" s="126" t="n">
        <x:v>0.10399313387740584</x:v>
      </x:c>
      <x:c r="K71" s="120" t="str">
        <x:v>已平仓</x:v>
      </x:c>
      <x:c r="L71" s="120" t="str">
        <x:f>IF(K71="未平仓","浮盈未实现",IF(I71&gt;='Data &amp; Targets'!$C$31,"大收益交易",IF(I71&lt;0,"亏损","普通盈利")))</x:f>
        <x:v>亏损</x:v>
      </x:c>
      <x:c r="M71" s="120" t="str">
        <x:v>EMA52-300 level</x:v>
      </x:c>
      <x:c r="N71" s="120" t="str">
        <x:v>level</x:v>
      </x:c>
    </x:row>
    <x:row r="72" ht="23" customHeight="1">
      <x:c r="A72" s="120" t="str">
        <x:v>EMA25持续低于52−300</x:v>
      </x:c>
      <x:c r="B72" s="120" t="str">
        <x:v>多</x:v>
      </x:c>
      <x:c r="C72" s="124" t="n">
        <x:v>46105</x:v>
      </x:c>
      <x:c r="D72" s="124" t="n">
        <x:v>46106</x:v>
      </x:c>
      <x:c r="E72" s="125" t="n">
        <x:v>70906.45</x:v>
      </x:c>
      <x:c r="F72" s="125" t="n">
        <x:v>70556.74</x:v>
      </x:c>
      <x:c r="G72" s="120" t="n">
        <x:v>1</x:v>
      </x:c>
      <x:c r="H72" s="125" t="n">
        <x:v>-69.27059385993684</x:v>
      </x:c>
      <x:c r="I72" s="126" t="n">
        <x:f>H72/'Data &amp; Targets'!$C$34</x:f>
        <x:v>-0.006927059385993684</x:v>
      </x:c>
      <x:c r="J72" s="126" t="n">
        <x:v>0.0069605797497971356</x:v>
      </x:c>
      <x:c r="K72" s="120" t="str">
        <x:v>已平仓</x:v>
      </x:c>
      <x:c r="L72" s="120" t="str">
        <x:f>IF(K72="未平仓","浮盈未实现",IF(I72&gt;='Data &amp; Targets'!$C$31,"大收益交易",IF(I72&lt;0,"亏损","普通盈利")))</x:f>
        <x:v>亏损</x:v>
      </x:c>
      <x:c r="M72" s="120" t="str">
        <x:v>EMA52-300 level</x:v>
      </x:c>
      <x:c r="N72" s="120" t="str">
        <x:v>level</x:v>
      </x:c>
    </x:row>
    <x:row r="73" ht="23" customHeight="1">
      <x:c r="A73" s="120" t="str">
        <x:v>EMA25持续低于52−300</x:v>
      </x:c>
      <x:c r="B73" s="120" t="str">
        <x:v>多</x:v>
      </x:c>
      <x:c r="C73" s="124" t="n">
        <x:v>46229</x:v>
      </x:c>
      <x:c r="D73" s="124" t="n">
        <x:v>46231</x:v>
      </x:c>
      <x:c r="E73" s="125" t="n">
        <x:v>64375.01</x:v>
      </x:c>
      <x:c r="F73" s="125" t="n">
        <x:v>63755.86</x:v>
      </x:c>
      <x:c r="G73" s="120" t="n">
        <x:v>2</x:v>
      </x:c>
      <x:c r="H73" s="125" t="n">
        <x:v>-116.08244721049385</x:v>
      </x:c>
      <x:c r="I73" s="126" t="n">
        <x:f>H73/'Data &amp; Targets'!$C$34</x:f>
        <x:v>-0.011608244721049385</x:v>
      </x:c>
      <x:c r="J73" s="126" t="n">
        <x:v>0.021275181161136913</x:v>
      </x:c>
      <x:c r="K73" s="120" t="str">
        <x:v>已平仓</x:v>
      </x:c>
      <x:c r="L73" s="120" t="str">
        <x:f>IF(K73="未平仓","浮盈未实现",IF(I73&gt;='Data &amp; Targets'!$C$31,"大收益交易",IF(I73&lt;0,"亏损","普通盈利")))</x:f>
        <x:v>亏损</x:v>
      </x:c>
      <x:c r="M73" s="120" t="str">
        <x:v>EMA52-300 level</x:v>
      </x:c>
      <x:c r="N73" s="120" t="str">
        <x:v>level</x:v>
      </x:c>
    </x:row>
    <x:row r="74" ht="23" customHeight="1">
      <x:c r="A74" s="120" t="str">
        <x:v>EMA25持续低于52−300</x:v>
      </x:c>
      <x:c r="B74" s="120" t="str">
        <x:v>多</x:v>
      </x:c>
      <x:c r="C74" s="124" t="n">
        <x:v>46234</x:v>
      </x:c>
      <x:c r="D74" s="124" t="n">
        <x:v>46235</x:v>
      </x:c>
      <x:c r="E74" s="125" t="n">
        <x:v>64780.03</x:v>
      </x:c>
      <x:c r="F74" s="125" t="n">
        <x:v>62887.88</x:v>
      </x:c>
      <x:c r="G74" s="120" t="n">
        <x:v>1</x:v>
      </x:c>
      <x:c r="H74" s="125" t="n">
        <x:v>-311.79638385471594</x:v>
      </x:c>
      <x:c r="I74" s="126" t="n">
        <x:f>H74/'Data &amp; Targets'!$C$34</x:f>
        <x:v>-0.031179638385471595</x:v>
      </x:c>
      <x:c r="J74" s="126" t="n">
        <x:v>0.009717964008352453</x:v>
      </x:c>
      <x:c r="K74" s="120" t="str">
        <x:v>已平仓</x:v>
      </x:c>
      <x:c r="L74" s="120" t="str">
        <x:f>IF(K74="未平仓","浮盈未实现",IF(I74&gt;='Data &amp; Targets'!$C$31,"大收益交易",IF(I74&lt;0,"亏损","普通盈利")))</x:f>
        <x:v>亏损</x:v>
      </x:c>
      <x:c r="M74" s="120" t="str">
        <x:v>EMA52-300 level</x:v>
      </x:c>
      <x:c r="N74" s="120" t="str">
        <x:v>level</x:v>
      </x:c>
    </x:row>
    <x:row r="75" ht="23" customHeight="1">
      <x:c r="A75" s="120" t="str">
        <x:v>EMA25持续低于52−300</x:v>
      </x:c>
      <x:c r="B75" s="120" t="str">
        <x:v>多</x:v>
      </x:c>
      <x:c r="C75" s="124" t="n">
        <x:v>46239</x:v>
      </x:c>
      <x:c r="D75" s="124" t="n">
        <x:v>46241</x:v>
      </x:c>
      <x:c r="E75" s="125" t="n">
        <x:v>64106.55</x:v>
      </x:c>
      <x:c r="F75" s="125" t="n">
        <x:v>64323.61</x:v>
      </x:c>
      <x:c r="G75" s="120" t="n">
        <x:v>2</x:v>
      </x:c>
      <x:c r="H75" s="125" t="n">
        <x:v>13.8253953769151</x:v>
      </x:c>
      <x:c r="I75" s="126" t="n">
        <x:f>H75/'Data &amp; Targets'!$C$34</x:f>
        <x:v>0.00138253953769151</x:v>
      </x:c>
      <x:c r="J75" s="126" t="n">
        <x:v>0.014330360938156872</x:v>
      </x:c>
      <x:c r="K75" s="120" t="str">
        <x:v>已平仓</x:v>
      </x:c>
      <x:c r="L75" s="120" t="str">
        <x:f>IF(K75="未平仓","浮盈未实现",IF(I75&gt;='Data &amp; Targets'!$C$31,"大收益交易",IF(I75&lt;0,"亏损","普通盈利")))</x:f>
        <x:v>普通盈利</x:v>
      </x:c>
      <x:c r="M75" s="120" t="str">
        <x:v>EMA52-300 level</x:v>
      </x:c>
      <x:c r="N75" s="120" t="str">
        <x:v>level</x:v>
      </x:c>
    </x:row>
    <x:row r="76" ht="23" customHeight="1">
      <x:c r="A76" s="120" t="str">
        <x:v>EMA25持续低于52−300</x:v>
      </x:c>
      <x:c r="B76" s="120" t="str">
        <x:v>多</x:v>
      </x:c>
      <x:c r="C76" s="124" t="n">
        <x:v>46252</x:v>
      </x:c>
      <x:c r="D76" s="124"/>
      <x:c r="E76" s="125" t="n">
        <x:v>64532.11</x:v>
      </x:c>
      <x:c r="F76" s="125" t="n">
        <x:v>80341.83</x:v>
      </x:c>
      <x:c r="G76" s="120" t="n">
        <x:v>19</x:v>
      </x:c>
      <x:c r="H76" s="125" t="n">
        <x:v>2439.899747583025</x:v>
      </x:c>
      <x:c r="I76" s="126" t="n">
        <x:f>H76/'Data &amp; Targets'!$C$34</x:f>
        <x:v>0.2439899747583025</x:v>
      </x:c>
      <x:c r="J76" s="126"/>
      <x:c r="K76" s="120" t="str">
        <x:v>未平仓</x:v>
      </x:c>
      <x:c r="L76" s="120" t="str">
        <x:f>IF(K76="未平仓","浮盈未实现",IF(I76&gt;='Data &amp; Targets'!$C$31,"大收益交易",IF(I76&lt;0,"亏损","普通盈利")))</x:f>
        <x:v>浮盈未实现</x:v>
      </x:c>
      <x:c r="M76" s="120" t="str">
        <x:v>期末按收盘估值；仅扣已付开仓费</x:v>
      </x:c>
      <x:c r="N76" s="120" t="str">
        <x:v>level</x:v>
      </x:c>
    </x:row>
    <x:row r="77" ht="23" customHeight="1">
      <x:c r="A77" s="120" t="str">
        <x:v>EMA25两日确认</x:v>
      </x:c>
      <x:c r="B77" s="120" t="str">
        <x:v>多</x:v>
      </x:c>
      <x:c r="C77" s="124" t="n">
        <x:v>45372</x:v>
      </x:c>
      <x:c r="D77" s="124" t="n">
        <x:v>45399</x:v>
      </x:c>
      <x:c r="E77" s="125" t="n">
        <x:v>67840.51</x:v>
      </x:c>
      <x:c r="F77" s="125" t="n">
        <x:v>63793.4</x:v>
      </x:c>
      <x:c r="G77" s="120" t="n">
        <x:v>27</x:v>
      </x:c>
      <x:c r="H77" s="125" t="n">
        <x:v>-615.9658749617291</x:v>
      </x:c>
      <x:c r="I77" s="126" t="n">
        <x:f>H77/'Data &amp; Targets'!$C$34</x:f>
        <x:v>-0.06159658749617291</x:v>
      </x:c>
      <x:c r="J77" s="126" t="n">
        <x:v>0.07307551196180584</x:v>
      </x:c>
      <x:c r="K77" s="120" t="str">
        <x:v>已平仓</x:v>
      </x:c>
      <x:c r="L77" s="120" t="str">
        <x:f>IF(K77="未平仓","浮盈未实现",IF(I77&gt;='Data &amp; Targets'!$C$31,"大收益交易",IF(I77&lt;0,"亏损","普通盈利")))</x:f>
        <x:v>亏损</x:v>
      </x:c>
      <x:c r="M77" s="120" t="str">
        <x:v>2 closes below EMA52</x:v>
      </x:c>
      <x:c r="N77" s="120" t="str">
        <x:v>confirm</x:v>
      </x:c>
    </x:row>
    <x:row r="78" ht="23" customHeight="1">
      <x:c r="A78" s="120" t="str">
        <x:v>EMA25两日确认</x:v>
      </x:c>
      <x:c r="B78" s="120" t="str">
        <x:v>多</x:v>
      </x:c>
      <x:c r="C78" s="124" t="n">
        <x:v>45405</x:v>
      </x:c>
      <x:c r="D78" s="124" t="n">
        <x:v>45408</x:v>
      </x:c>
      <x:c r="E78" s="125" t="n">
        <x:v>66819.32</x:v>
      </x:c>
      <x:c r="F78" s="125" t="n">
        <x:v>64498.33</x:v>
      </x:c>
      <x:c r="G78" s="120" t="n">
        <x:v>3</x:v>
      </x:c>
      <x:c r="H78" s="125" t="n">
        <x:v>-367.0057776702913</x:v>
      </x:c>
      <x:c r="I78" s="126" t="n">
        <x:f>H78/'Data &amp; Targets'!$C$34</x:f>
        <x:v>-0.03670057776702913</x:v>
      </x:c>
      <x:c r="J78" s="126" t="n">
        <x:v>0.005442886877627506</x:v>
      </x:c>
      <x:c r="K78" s="120" t="str">
        <x:v>已平仓</x:v>
      </x:c>
      <x:c r="L78" s="120" t="str">
        <x:f>IF(K78="未平仓","浮盈未实现",IF(I78&gt;='Data &amp; Targets'!$C$31,"大收益交易",IF(I78&lt;0,"亏损","普通盈利")))</x:f>
        <x:v>亏损</x:v>
      </x:c>
      <x:c r="M78" s="120" t="str">
        <x:v>2 closes below EMA52</x:v>
      </x:c>
      <x:c r="N78" s="120" t="str">
        <x:v>confirm</x:v>
      </x:c>
    </x:row>
    <x:row r="79" ht="23" customHeight="1">
      <x:c r="A79" s="120" t="str">
        <x:v>EMA25两日确认</x:v>
      </x:c>
      <x:c r="B79" s="120" t="str">
        <x:v>多</x:v>
      </x:c>
      <x:c r="C79" s="124" t="n">
        <x:v>45506</x:v>
      </x:c>
      <x:c r="D79" s="124" t="n">
        <x:v>45508</x:v>
      </x:c>
      <x:c r="E79" s="125" t="n">
        <x:v>65354.02</x:v>
      </x:c>
      <x:c r="F79" s="125" t="n">
        <x:v>60697.99</x:v>
      </x:c>
      <x:c r="G79" s="120" t="n">
        <x:v>2</x:v>
      </x:c>
      <x:c r="H79" s="125" t="n">
        <x:v>-731.7196417297664</x:v>
      </x:c>
      <x:c r="I79" s="126" t="n">
        <x:f>H79/'Data &amp; Targets'!$C$34</x:f>
        <x:v>-0.07317196417297664</x:v>
      </x:c>
      <x:c r="J79" s="126" t="n">
        <x:v>0.00370474532400622</x:v>
      </x:c>
      <x:c r="K79" s="120" t="str">
        <x:v>已平仓</x:v>
      </x:c>
      <x:c r="L79" s="120" t="str">
        <x:f>IF(K79="未平仓","浮盈未实现",IF(I79&gt;='Data &amp; Targets'!$C$31,"大收益交易",IF(I79&lt;0,"亏损","普通盈利")))</x:f>
        <x:v>亏损</x:v>
      </x:c>
      <x:c r="M79" s="120" t="str">
        <x:v>2 closes below EMA52</x:v>
      </x:c>
      <x:c r="N79" s="120" t="str">
        <x:v>confirm</x:v>
      </x:c>
    </x:row>
    <x:row r="80" ht="23" customHeight="1">
      <x:c r="A80" s="120" t="str">
        <x:v>EMA25两日确认</x:v>
      </x:c>
      <x:c r="B80" s="120" t="str">
        <x:v>多</x:v>
      </x:c>
      <x:c r="C80" s="124" t="n">
        <x:v>45570</x:v>
      </x:c>
      <x:c r="D80" s="124" t="n">
        <x:v>45576</x:v>
      </x:c>
      <x:c r="E80" s="125" t="n">
        <x:v>62086</x:v>
      </x:c>
      <x:c r="F80" s="125" t="n">
        <x:v>60326.4</x:v>
      </x:c>
      <x:c r="G80" s="120" t="n">
        <x:v>6</x:v>
      </x:c>
      <x:c r="H80" s="125" t="n">
        <x:v>-303.1299165673418</x:v>
      </x:c>
      <x:c r="I80" s="126" t="n">
        <x:f>H80/'Data &amp; Targets'!$C$34</x:f>
        <x:v>-0.030312991656734182</x:v>
      </x:c>
      <x:c r="J80" s="126" t="n">
        <x:v>0.0385302644718617</x:v>
      </x:c>
      <x:c r="K80" s="120" t="str">
        <x:v>已平仓</x:v>
      </x:c>
      <x:c r="L80" s="120" t="str">
        <x:f>IF(K80="未平仓","浮盈未实现",IF(I80&gt;='Data &amp; Targets'!$C$31,"大收益交易",IF(I80&lt;0,"亏损","普通盈利")))</x:f>
        <x:v>亏损</x:v>
      </x:c>
      <x:c r="M80" s="120" t="str">
        <x:v>2 closes below EMA52</x:v>
      </x:c>
      <x:c r="N80" s="120" t="str">
        <x:v>confirm</x:v>
      </x:c>
    </x:row>
    <x:row r="81" ht="23" customHeight="1">
      <x:c r="A81" s="120" t="str">
        <x:v>EMA25两日确认</x:v>
      </x:c>
      <x:c r="B81" s="120" t="str">
        <x:v>多</x:v>
      </x:c>
      <x:c r="C81" s="124" t="n">
        <x:v>45577</x:v>
      </x:c>
      <x:c r="D81" s="124" t="n">
        <x:v>45694</x:v>
      </x:c>
      <x:c r="E81" s="125" t="n">
        <x:v>62539.99</x:v>
      </x:c>
      <x:c r="F81" s="125" t="n">
        <x:v>96612.44</x:v>
      </x:c>
      <x:c r="G81" s="120" t="n">
        <x:v>117</x:v>
      </x:c>
      <x:c r="H81" s="125" t="n">
        <x:v>5422.6579777195375</x:v>
      </x:c>
      <x:c r="I81" s="126" t="n">
        <x:f>H81/'Data &amp; Targets'!$C$34</x:f>
        <x:v>0.5422657977719537</x:v>
      </x:c>
      <x:c r="J81" s="126" t="n">
        <x:v>0.7522868168031367</x:v>
      </x:c>
      <x:c r="K81" s="120" t="str">
        <x:v>已平仓</x:v>
      </x:c>
      <x:c r="L81" s="120" t="str">
        <x:f>IF(K81="未平仓","浮盈未实现",IF(I81&gt;='Data &amp; Targets'!$C$31,"大收益交易",IF(I81&lt;0,"亏损","普通盈利")))</x:f>
        <x:v>大收益交易</x:v>
      </x:c>
      <x:c r="M81" s="120" t="str">
        <x:v>2 closes below EMA52</x:v>
      </x:c>
      <x:c r="N81" s="120" t="str">
        <x:v>confirm</x:v>
      </x:c>
    </x:row>
    <x:row r="82" ht="23" customHeight="1">
      <x:c r="A82" s="120" t="str">
        <x:v>EMA25两日确认</x:v>
      </x:c>
      <x:c r="B82" s="120" t="str">
        <x:v>多</x:v>
      </x:c>
      <x:c r="C82" s="124" t="n">
        <x:v>45809</x:v>
      </x:c>
      <x:c r="D82" s="124" t="n">
        <x:v>45831</x:v>
      </x:c>
      <x:c r="E82" s="125" t="n">
        <x:v>104591.88</x:v>
      </x:c>
      <x:c r="F82" s="125" t="n">
        <x:v>100963.87</x:v>
      </x:c>
      <x:c r="G82" s="120" t="n">
        <x:v>22</x:v>
      </x:c>
      <x:c r="H82" s="125" t="n">
        <x:v>-366.52613472479976</x:v>
      </x:c>
      <x:c r="I82" s="126" t="n">
        <x:f>H82/'Data &amp; Targets'!$C$34</x:f>
        <x:v>-0.03665261347247998</x:v>
      </x:c>
      <x:c r="J82" s="126" t="n">
        <x:v>0.056775822367854945</x:v>
      </x:c>
      <x:c r="K82" s="120" t="str">
        <x:v>已平仓</x:v>
      </x:c>
      <x:c r="L82" s="120" t="str">
        <x:f>IF(K82="未平仓","浮盈未实现",IF(I82&gt;='Data &amp; Targets'!$C$31,"大收益交易",IF(I82&lt;0,"亏损","普通盈利")))</x:f>
        <x:v>亏损</x:v>
      </x:c>
      <x:c r="M82" s="120" t="str">
        <x:v>2 closes below EMA52</x:v>
      </x:c>
      <x:c r="N82" s="120" t="str">
        <x:v>confirm</x:v>
      </x:c>
    </x:row>
    <x:row r="83" ht="23" customHeight="1">
      <x:c r="A83" s="120" t="str">
        <x:v>EMA25两日确认</x:v>
      </x:c>
      <x:c r="B83" s="120" t="str">
        <x:v>多</x:v>
      </x:c>
      <x:c r="C83" s="124" t="n">
        <x:v>45832</x:v>
      </x:c>
      <x:c r="D83" s="124" t="n">
        <x:v>45890</x:v>
      </x:c>
      <x:c r="E83" s="125" t="n">
        <x:v>105333.94</x:v>
      </x:c>
      <x:c r="F83" s="125" t="n">
        <x:v>114271.23</x:v>
      </x:c>
      <x:c r="G83" s="120" t="n">
        <x:v>58</x:v>
      </x:c>
      <x:c r="H83" s="125" t="n">
        <x:v>827.6235399530289</x:v>
      </x:c>
      <x:c r="I83" s="126" t="n">
        <x:f>H83/'Data &amp; Targets'!$C$34</x:f>
        <x:v>0.08276235399530288</x:v>
      </x:c>
      <x:c r="J83" s="126" t="n">
        <x:v>0.18170838383146015</x:v>
      </x:c>
      <x:c r="K83" s="120" t="str">
        <x:v>已平仓</x:v>
      </x:c>
      <x:c r="L83" s="120" t="str">
        <x:f>IF(K83="未平仓","浮盈未实现",IF(I83&gt;='Data &amp; Targets'!$C$31,"大收益交易",IF(I83&lt;0,"亏损","普通盈利")))</x:f>
        <x:v>普通盈利</x:v>
      </x:c>
      <x:c r="M83" s="120" t="str">
        <x:v>2 closes below EMA52</x:v>
      </x:c>
      <x:c r="N83" s="120" t="str">
        <x:v>confirm</x:v>
      </x:c>
    </x:row>
    <x:row r="84" ht="23" customHeight="1">
      <x:c r="A84" s="120" t="str">
        <x:v>EMA25两日确认</x:v>
      </x:c>
      <x:c r="B84" s="120" t="str">
        <x:v>多</x:v>
      </x:c>
      <x:c r="C84" s="124" t="n">
        <x:v>45892</x:v>
      </x:c>
      <x:c r="D84" s="124" t="n">
        <x:v>45895</x:v>
      </x:c>
      <x:c r="E84" s="125" t="n">
        <x:v>116936</x:v>
      </x:c>
      <x:c r="F84" s="125" t="n">
        <x:v>110111.98</x:v>
      </x:c>
      <x:c r="G84" s="120" t="n">
        <x:v>3</x:v>
      </x:c>
      <x:c r="H84" s="125" t="n">
        <x:v>-602.9852209755768</x:v>
      </x:c>
      <x:c r="I84" s="126" t="n">
        <x:f>H84/'Data &amp; Targets'!$C$34</x:f>
        <x:v>-0.06029852209755768</x:v>
      </x:c>
      <x:c r="J84" s="126" t="n">
        <x:v>0.000803858520900258</x:v>
      </x:c>
      <x:c r="K84" s="120" t="str">
        <x:v>已平仓</x:v>
      </x:c>
      <x:c r="L84" s="120" t="str">
        <x:f>IF(K84="未平仓","浮盈未实现",IF(I84&gt;='Data &amp; Targets'!$C$31,"大收益交易",IF(I84&lt;0,"亏损","普通盈利")))</x:f>
        <x:v>亏损</x:v>
      </x:c>
      <x:c r="M84" s="120" t="str">
        <x:v>2 closes below EMA52</x:v>
      </x:c>
      <x:c r="N84" s="120" t="str">
        <x:v>confirm</x:v>
      </x:c>
    </x:row>
    <x:row r="85" ht="23" customHeight="1">
      <x:c r="A85" s="120" t="str">
        <x:v>EMA25两日确认</x:v>
      </x:c>
      <x:c r="B85" s="120" t="str">
        <x:v>多</x:v>
      </x:c>
      <x:c r="C85" s="124" t="n">
        <x:v>45930</x:v>
      </x:c>
      <x:c r="D85" s="124" t="n">
        <x:v>45942</x:v>
      </x:c>
      <x:c r="E85" s="125" t="n">
        <x:v>114311.97</x:v>
      </x:c>
      <x:c r="F85" s="125" t="n">
        <x:v>110644.4</x:v>
      </x:c>
      <x:c r="G85" s="120" t="n">
        <x:v>12</x:v>
      </x:c>
      <x:c r="H85" s="125" t="n">
        <x:v>-340.51782766056846</x:v>
      </x:c>
      <x:c r="I85" s="126" t="n">
        <x:f>H85/'Data &amp; Targets'!$C$34</x:f>
        <x:v>-0.034051782766056846</x:v>
      </x:c>
      <x:c r="J85" s="126" t="n">
        <x:v>0.10399313387740584</x:v>
      </x:c>
      <x:c r="K85" s="120" t="str">
        <x:v>已平仓</x:v>
      </x:c>
      <x:c r="L85" s="120" t="str">
        <x:f>IF(K85="未平仓","浮盈未实现",IF(I85&gt;='Data &amp; Targets'!$C$31,"大收益交易",IF(I85&lt;0,"亏损","普通盈利")))</x:f>
        <x:v>亏损</x:v>
      </x:c>
      <x:c r="M85" s="120" t="str">
        <x:v>2 closes below EMA52</x:v>
      </x:c>
      <x:c r="N85" s="120" t="str">
        <x:v>confirm</x:v>
      </x:c>
    </x:row>
    <x:row r="86" ht="23" customHeight="1">
      <x:c r="A86" s="120" t="str">
        <x:v>EMA25两日确认</x:v>
      </x:c>
      <x:c r="B86" s="120" t="str">
        <x:v>多</x:v>
      </x:c>
      <x:c r="C86" s="124" t="n">
        <x:v>46105</x:v>
      </x:c>
      <x:c r="D86" s="124" t="n">
        <x:v>46106</x:v>
      </x:c>
      <x:c r="E86" s="125" t="n">
        <x:v>70906.45</x:v>
      </x:c>
      <x:c r="F86" s="125" t="n">
        <x:v>70556.74</x:v>
      </x:c>
      <x:c r="G86" s="120" t="n">
        <x:v>1</x:v>
      </x:c>
      <x:c r="H86" s="125" t="n">
        <x:v>-69.27059385993684</x:v>
      </x:c>
      <x:c r="I86" s="126" t="n">
        <x:f>H86/'Data &amp; Targets'!$C$34</x:f>
        <x:v>-0.006927059385993684</x:v>
      </x:c>
      <x:c r="J86" s="126" t="n">
        <x:v>0.0069605797497971356</x:v>
      </x:c>
      <x:c r="K86" s="120" t="str">
        <x:v>已平仓</x:v>
      </x:c>
      <x:c r="L86" s="120" t="str">
        <x:f>IF(K86="未平仓","浮盈未实现",IF(I86&gt;='Data &amp; Targets'!$C$31,"大收益交易",IF(I86&lt;0,"亏损","普通盈利")))</x:f>
        <x:v>亏损</x:v>
      </x:c>
      <x:c r="M86" s="120" t="str">
        <x:v>2 closes below EMA52</x:v>
      </x:c>
      <x:c r="N86" s="120" t="str">
        <x:v>confirm</x:v>
      </x:c>
    </x:row>
    <x:row r="87" ht="23" customHeight="1">
      <x:c r="A87" s="120" t="str">
        <x:v>EMA25两日确认</x:v>
      </x:c>
      <x:c r="B87" s="120" t="str">
        <x:v>多</x:v>
      </x:c>
      <x:c r="C87" s="124" t="n">
        <x:v>46229</x:v>
      </x:c>
      <x:c r="D87" s="124" t="n">
        <x:v>46232</x:v>
      </x:c>
      <x:c r="E87" s="125" t="n">
        <x:v>64375.01</x:v>
      </x:c>
      <x:c r="F87" s="125" t="n">
        <x:v>63915</x:v>
      </x:c>
      <x:c r="G87" s="120" t="n">
        <x:v>3</x:v>
      </x:c>
      <x:c r="H87" s="125" t="n">
        <x:v>-91.3863951244438</x:v>
      </x:c>
      <x:c r="I87" s="126" t="n">
        <x:f>H87/'Data &amp; Targets'!$C$34</x:f>
        <x:v>-0.009138639512444379</x:v>
      </x:c>
      <x:c r="J87" s="126" t="n">
        <x:v>0.021275181161136913</x:v>
      </x:c>
      <x:c r="K87" s="120" t="str">
        <x:v>已平仓</x:v>
      </x:c>
      <x:c r="L87" s="120" t="str">
        <x:f>IF(K87="未平仓","浮盈未实现",IF(I87&gt;='Data &amp; Targets'!$C$31,"大收益交易",IF(I87&lt;0,"亏损","普通盈利")))</x:f>
        <x:v>亏损</x:v>
      </x:c>
      <x:c r="M87" s="120" t="str">
        <x:v>2 closes below EMA52</x:v>
      </x:c>
      <x:c r="N87" s="120" t="str">
        <x:v>confirm</x:v>
      </x:c>
    </x:row>
    <x:row r="88" ht="23" customHeight="1">
      <x:c r="A88" s="120" t="str">
        <x:v>EMA25两日确认</x:v>
      </x:c>
      <x:c r="B88" s="120" t="str">
        <x:v>多</x:v>
      </x:c>
      <x:c r="C88" s="124" t="n">
        <x:v>46234</x:v>
      </x:c>
      <x:c r="D88" s="124" t="n">
        <x:v>46235</x:v>
      </x:c>
      <x:c r="E88" s="125" t="n">
        <x:v>64780.03</x:v>
      </x:c>
      <x:c r="F88" s="125" t="n">
        <x:v>62887.88</x:v>
      </x:c>
      <x:c r="G88" s="120" t="n">
        <x:v>1</x:v>
      </x:c>
      <x:c r="H88" s="125" t="n">
        <x:v>-311.79638385471594</x:v>
      </x:c>
      <x:c r="I88" s="126" t="n">
        <x:f>H88/'Data &amp; Targets'!$C$34</x:f>
        <x:v>-0.031179638385471595</x:v>
      </x:c>
      <x:c r="J88" s="126" t="n">
        <x:v>0.009717964008352453</x:v>
      </x:c>
      <x:c r="K88" s="120" t="str">
        <x:v>已平仓</x:v>
      </x:c>
      <x:c r="L88" s="120" t="str">
        <x:f>IF(K88="未平仓","浮盈未实现",IF(I88&gt;='Data &amp; Targets'!$C$31,"大收益交易",IF(I88&lt;0,"亏损","普通盈利")))</x:f>
        <x:v>亏损</x:v>
      </x:c>
      <x:c r="M88" s="120" t="str">
        <x:v>2 closes below EMA52</x:v>
      </x:c>
      <x:c r="N88" s="120" t="str">
        <x:v>confirm</x:v>
      </x:c>
    </x:row>
    <x:row r="89" ht="23" customHeight="1">
      <x:c r="A89" s="120" t="str">
        <x:v>EMA25两日确认</x:v>
      </x:c>
      <x:c r="B89" s="120" t="str">
        <x:v>多</x:v>
      </x:c>
      <x:c r="C89" s="124" t="n">
        <x:v>46239</x:v>
      </x:c>
      <x:c r="D89" s="124" t="n">
        <x:v>46240</x:v>
      </x:c>
      <x:c r="E89" s="125" t="n">
        <x:v>64106.55</x:v>
      </x:c>
      <x:c r="F89" s="125" t="n">
        <x:v>64665.24</x:v>
      </x:c>
      <x:c r="G89" s="120" t="n">
        <x:v>1</x:v>
      </x:c>
      <x:c r="H89" s="125" t="n">
        <x:v>67.06307077825822</x:v>
      </x:c>
      <x:c r="I89" s="126" t="n">
        <x:f>H89/'Data &amp; Targets'!$C$34</x:f>
        <x:v>0.006706307077825822</x:v>
      </x:c>
      <x:c r="J89" s="126" t="n">
        <x:v>0.014330360938156872</x:v>
      </x:c>
      <x:c r="K89" s="120" t="str">
        <x:v>已平仓</x:v>
      </x:c>
      <x:c r="L89" s="120" t="str">
        <x:f>IF(K89="未平仓","浮盈未实现",IF(I89&gt;='Data &amp; Targets'!$C$31,"大收益交易",IF(I89&lt;0,"亏损","普通盈利")))</x:f>
        <x:v>普通盈利</x:v>
      </x:c>
      <x:c r="M89" s="120" t="str">
        <x:v>2 closes below EMA52</x:v>
      </x:c>
      <x:c r="N89" s="120" t="str">
        <x:v>confirm</x:v>
      </x:c>
    </x:row>
    <x:row r="90" ht="23" customHeight="1">
      <x:c r="A90" s="120" t="str">
        <x:v>EMA25两日确认</x:v>
      </x:c>
      <x:c r="B90" s="120" t="str">
        <x:v>多</x:v>
      </x:c>
      <x:c r="C90" s="124" t="n">
        <x:v>46252</x:v>
      </x:c>
      <x:c r="D90" s="124"/>
      <x:c r="E90" s="125" t="n">
        <x:v>64532.11</x:v>
      </x:c>
      <x:c r="F90" s="125" t="n">
        <x:v>80341.83</x:v>
      </x:c>
      <x:c r="G90" s="120" t="n">
        <x:v>19</x:v>
      </x:c>
      <x:c r="H90" s="125" t="n">
        <x:v>2439.899747583025</x:v>
      </x:c>
      <x:c r="I90" s="126" t="n">
        <x:f>H90/'Data &amp; Targets'!$C$34</x:f>
        <x:v>0.2439899747583025</x:v>
      </x:c>
      <x:c r="J90" s="126"/>
      <x:c r="K90" s="120" t="str">
        <x:v>未平仓</x:v>
      </x:c>
      <x:c r="L90" s="120" t="str">
        <x:f>IF(K90="未平仓","浮盈未实现",IF(I90&gt;='Data &amp; Targets'!$C$31,"大收益交易",IF(I90&lt;0,"亏损","普通盈利")))</x:f>
        <x:v>浮盈未实现</x:v>
      </x:c>
      <x:c r="M90" s="120" t="str">
        <x:v>期末按收盘估值；仅扣已付开仓费</x:v>
      </x:c>
      <x:c r="N90" s="120" t="str">
        <x:v>confirm</x:v>
      </x:c>
    </x:row>
    <x:row r="91" ht="23" customHeight="1">
      <x:c r="A91" s="120" t="str">
        <x:v>EMA25最高价3ATR</x:v>
      </x:c>
      <x:c r="B91" s="120" t="str">
        <x:v>多</x:v>
      </x:c>
      <x:c r="C91" s="124" t="n">
        <x:v>45372</x:v>
      </x:c>
      <x:c r="D91" s="124" t="n">
        <x:v>45396</x:v>
      </x:c>
      <x:c r="E91" s="125" t="n">
        <x:v>67840.51</x:v>
      </x:c>
      <x:c r="F91" s="125" t="n">
        <x:v>63924.52</x:v>
      </x:c>
      <x:c r="G91" s="120" t="n">
        <x:v>24</x:v>
      </x:c>
      <x:c r="H91" s="125" t="n">
        <x:v>-596.6575177574576</x:v>
      </x:c>
      <x:c r="I91" s="126" t="n">
        <x:f>H91/'Data &amp; Targets'!$C$34</x:f>
        <x:v>-0.05966575177574576</x:v>
      </x:c>
      <x:c r="J91" s="126" t="n">
        <x:v>0.07307551196180584</x:v>
      </x:c>
      <x:c r="K91" s="120" t="str">
        <x:v>已平仓</x:v>
      </x:c>
      <x:c r="L91" s="120" t="str">
        <x:f>IF(K91="未平仓","浮盈未实现",IF(I91&gt;='Data &amp; Targets'!$C$31,"大收益交易",IF(I91&lt;0,"亏损","普通盈利")))</x:f>
        <x:v>亏损</x:v>
      </x:c>
      <x:c r="M91" s="120" t="str">
        <x:v>EMA52-300 level</x:v>
      </x:c>
      <x:c r="N91" s="120" t="str">
        <x:v>trail</x:v>
      </x:c>
    </x:row>
    <x:row r="92" ht="23" customHeight="1">
      <x:c r="A92" s="120" t="str">
        <x:v>EMA25最高价3ATR</x:v>
      </x:c>
      <x:c r="B92" s="120" t="str">
        <x:v>多</x:v>
      </x:c>
      <x:c r="C92" s="124" t="n">
        <x:v>45405</x:v>
      </x:c>
      <x:c r="D92" s="124" t="n">
        <x:v>45409</x:v>
      </x:c>
      <x:c r="E92" s="125" t="n">
        <x:v>66819.32</x:v>
      </x:c>
      <x:c r="F92" s="125" t="n">
        <x:v>63770</x:v>
      </x:c>
      <x:c r="G92" s="120" t="n">
        <x:v>4</x:v>
      </x:c>
      <x:c r="H92" s="125" t="n">
        <x:v>-475.896689759789</x:v>
      </x:c>
      <x:c r="I92" s="126" t="n">
        <x:f>H92/'Data &amp; Targets'!$C$34</x:f>
        <x:v>-0.047589668975978903</x:v>
      </x:c>
      <x:c r="J92" s="126" t="n">
        <x:v>0.005442886877627506</x:v>
      </x:c>
      <x:c r="K92" s="120" t="str">
        <x:v>已平仓</x:v>
      </x:c>
      <x:c r="L92" s="120" t="str">
        <x:f>IF(K92="未平仓","浮盈未实现",IF(I92&gt;='Data &amp; Targets'!$C$31,"大收益交易",IF(I92&lt;0,"亏损","普通盈利")))</x:f>
        <x:v>亏损</x:v>
      </x:c>
      <x:c r="M92" s="120" t="str">
        <x:v>EMA52-300 level</x:v>
      </x:c>
      <x:c r="N92" s="120" t="str">
        <x:v>trail</x:v>
      </x:c>
    </x:row>
    <x:row r="93" ht="23" customHeight="1">
      <x:c r="A93" s="120" t="str">
        <x:v>EMA25最高价3ATR</x:v>
      </x:c>
      <x:c r="B93" s="120" t="str">
        <x:v>多</x:v>
      </x:c>
      <x:c r="C93" s="124" t="n">
        <x:v>45506</x:v>
      </x:c>
      <x:c r="D93" s="124" t="n">
        <x:v>45507</x:v>
      </x:c>
      <x:c r="E93" s="125" t="n">
        <x:v>65354.02</x:v>
      </x:c>
      <x:c r="F93" s="125" t="n">
        <x:v>61498.34</x:v>
      </x:c>
      <x:c r="G93" s="120" t="n">
        <x:v>1</x:v>
      </x:c>
      <x:c r="H93" s="125" t="n">
        <x:v>-609.378330514328</x:v>
      </x:c>
      <x:c r="I93" s="126" t="n">
        <x:f>H93/'Data &amp; Targets'!$C$34</x:f>
        <x:v>-0.0609378330514328</x:v>
      </x:c>
      <x:c r="J93" s="126" t="n">
        <x:v>0.00370474532400622</x:v>
      </x:c>
      <x:c r="K93" s="120" t="str">
        <x:v>已平仓</x:v>
      </x:c>
      <x:c r="L93" s="120" t="str">
        <x:f>IF(K93="未平仓","浮盈未实现",IF(I93&gt;='Data &amp; Targets'!$C$31,"大收益交易",IF(I93&lt;0,"亏损","普通盈利")))</x:f>
        <x:v>亏损</x:v>
      </x:c>
      <x:c r="M93" s="120" t="str">
        <x:v>EMA52-300 level</x:v>
      </x:c>
      <x:c r="N93" s="120" t="str">
        <x:v>trail</x:v>
      </x:c>
    </x:row>
    <x:row r="94" ht="23" customHeight="1">
      <x:c r="A94" s="120" t="str">
        <x:v>EMA25最高价3ATR</x:v>
      </x:c>
      <x:c r="B94" s="120" t="str">
        <x:v>多</x:v>
      </x:c>
      <x:c r="C94" s="124" t="n">
        <x:v>45570</x:v>
      </x:c>
      <x:c r="D94" s="124" t="n">
        <x:v>45575</x:v>
      </x:c>
      <x:c r="E94" s="125" t="n">
        <x:v>62086</x:v>
      </x:c>
      <x:c r="F94" s="125" t="n">
        <x:v>60636.01</x:v>
      </x:c>
      <x:c r="G94" s="120" t="n">
        <x:v>5</x:v>
      </x:c>
      <x:c r="H94" s="125" t="n">
        <x:v>-253.3118593563763</x:v>
      </x:c>
      <x:c r="I94" s="126" t="n">
        <x:f>H94/'Data &amp; Targets'!$C$34</x:f>
        <x:v>-0.02533118593563763</x:v>
      </x:c>
      <x:c r="J94" s="126" t="n">
        <x:v>0.0385302644718617</x:v>
      </x:c>
      <x:c r="K94" s="120" t="str">
        <x:v>已平仓</x:v>
      </x:c>
      <x:c r="L94" s="120" t="str">
        <x:f>IF(K94="未平仓","浮盈未实现",IF(I94&gt;='Data &amp; Targets'!$C$31,"大收益交易",IF(I94&lt;0,"亏损","普通盈利")))</x:f>
        <x:v>亏损</x:v>
      </x:c>
      <x:c r="M94" s="120" t="str">
        <x:v>EMA52-300 level</x:v>
      </x:c>
      <x:c r="N94" s="120" t="str">
        <x:v>trail</x:v>
      </x:c>
    </x:row>
    <x:row r="95" ht="23" customHeight="1">
      <x:c r="A95" s="120" t="str">
        <x:v>EMA25最高价3ATR</x:v>
      </x:c>
      <x:c r="B95" s="120" t="str">
        <x:v>多</x:v>
      </x:c>
      <x:c r="C95" s="124" t="n">
        <x:v>45577</x:v>
      </x:c>
      <x:c r="D95" s="124" t="n">
        <x:v>45649</x:v>
      </x:c>
      <x:c r="E95" s="125" t="n">
        <x:v>62539.99</x:v>
      </x:c>
      <x:c r="F95" s="125" t="n">
        <x:v>95186.28</x:v>
      </x:c>
      <x:c r="G95" s="120" t="n">
        <x:v>72</x:v>
      </x:c>
      <x:c r="H95" s="125" t="n">
        <x:v>5194.846326326564</x:v>
      </x:c>
      <x:c r="I95" s="126" t="n">
        <x:f>H95/'Data &amp; Targets'!$C$34</x:f>
        <x:v>0.5194846326326564</x:v>
      </x:c>
      <x:c r="J95" s="126" t="n">
        <x:v>0.7325394519570598</x:v>
      </x:c>
      <x:c r="K95" s="120" t="str">
        <x:v>已平仓</x:v>
      </x:c>
      <x:c r="L95" s="120" t="str">
        <x:f>IF(K95="未平仓","浮盈未实现",IF(I95&gt;='Data &amp; Targets'!$C$31,"大收益交易",IF(I95&lt;0,"亏损","普通盈利")))</x:f>
        <x:v>大收益交易</x:v>
      </x:c>
      <x:c r="M95" s="120" t="str">
        <x:v>ATR trail close</x:v>
      </x:c>
      <x:c r="N95" s="120" t="str">
        <x:v>trail</x:v>
      </x:c>
    </x:row>
    <x:row r="96" ht="23" customHeight="1">
      <x:c r="A96" s="120" t="str">
        <x:v>EMA25最高价3ATR</x:v>
      </x:c>
      <x:c r="B96" s="120" t="str">
        <x:v>多</x:v>
      </x:c>
      <x:c r="C96" s="124" t="n">
        <x:v>45651</x:v>
      </x:c>
      <x:c r="D96" s="124" t="n">
        <x:v>45667</x:v>
      </x:c>
      <x:c r="E96" s="125" t="n">
        <x:v>98663.58</x:v>
      </x:c>
      <x:c r="F96" s="125" t="n">
        <x:v>92552.49</x:v>
      </x:c>
      <x:c r="G96" s="120" t="n">
        <x:v>16</x:v>
      </x:c>
      <x:c r="H96" s="125" t="n">
        <x:v>-638.7672198799189</x:v>
      </x:c>
      <x:c r="I96" s="126" t="n">
        <x:f>H96/'Data &amp; Targets'!$C$34</x:f>
        <x:v>-0.0638767219879919</x:v>
      </x:c>
      <x:c r="J96" s="126" t="n">
        <x:v>0.041158044336116806</x:v>
      </x:c>
      <x:c r="K96" s="120" t="str">
        <x:v>已平仓</x:v>
      </x:c>
      <x:c r="L96" s="120" t="str">
        <x:f>IF(K96="未平仓","浮盈未实现",IF(I96&gt;='Data &amp; Targets'!$C$31,"大收益交易",IF(I96&lt;0,"亏损","普通盈利")))</x:f>
        <x:v>亏损</x:v>
      </x:c>
      <x:c r="M96" s="120" t="str">
        <x:v>EMA52-300 level</x:v>
      </x:c>
      <x:c r="N96" s="120" t="str">
        <x:v>trail</x:v>
      </x:c>
    </x:row>
    <x:row r="97" ht="23" customHeight="1">
      <x:c r="A97" s="120" t="str">
        <x:v>EMA25最高价3ATR</x:v>
      </x:c>
      <x:c r="B97" s="120" t="str">
        <x:v>多</x:v>
      </x:c>
      <x:c r="C97" s="124" t="n">
        <x:v>45672</x:v>
      </x:c>
      <x:c r="D97" s="124" t="n">
        <x:v>45691</x:v>
      </x:c>
      <x:c r="E97" s="125" t="n">
        <x:v>96560.85</x:v>
      </x:c>
      <x:c r="F97" s="125" t="n">
        <x:v>97700.59</x:v>
      </x:c>
      <x:c r="G97" s="120" t="n">
        <x:v>19</x:v>
      </x:c>
      <x:c r="H97" s="125" t="n">
        <x:v>97.91531039753592</x:v>
      </x:c>
      <x:c r="I97" s="126" t="n">
        <x:f>H97/'Data &amp; Targets'!$C$34</x:f>
        <x:v>0.009791531039753592</x:v>
      </x:c>
      <x:c r="J97" s="126" t="n">
        <x:v>0.13491130204425494</x:v>
      </x:c>
      <x:c r="K97" s="120" t="str">
        <x:v>已平仓</x:v>
      </x:c>
      <x:c r="L97" s="120" t="str">
        <x:f>IF(K97="未平仓","浮盈未实现",IF(I97&gt;='Data &amp; Targets'!$C$31,"大收益交易",IF(I97&lt;0,"亏损","普通盈利")))</x:f>
        <x:v>普通盈利</x:v>
      </x:c>
      <x:c r="M97" s="120" t="str">
        <x:v>EMA52-300 level</x:v>
      </x:c>
      <x:c r="N97" s="120" t="str">
        <x:v>trail</x:v>
      </x:c>
    </x:row>
    <x:row r="98" ht="23" customHeight="1">
      <x:c r="A98" s="120" t="str">
        <x:v>EMA25最高价3ATR</x:v>
      </x:c>
      <x:c r="B98" s="120" t="str">
        <x:v>多</x:v>
      </x:c>
      <x:c r="C98" s="124" t="n">
        <x:v>45692</x:v>
      </x:c>
      <x:c r="D98" s="124" t="n">
        <x:v>45693</x:v>
      </x:c>
      <x:c r="E98" s="125" t="n">
        <x:v>101328.51</x:v>
      </x:c>
      <x:c r="F98" s="125" t="n">
        <x:v>97763.14</x:v>
      </x:c>
      <x:c r="G98" s="120" t="n">
        <x:v>1</x:v>
      </x:c>
      <x:c r="H98" s="125" t="n">
        <x:v>-371.5106094030195</x:v>
      </x:c>
      <x:c r="I98" s="126" t="n">
        <x:f>H98/'Data &amp; Targets'!$C$34</x:f>
        <x:v>-0.03715106094030195</x:v>
      </x:c>
      <x:c r="J98" s="126" t="n">
        <x:v>0.0039850581045748346</x:v>
      </x:c>
      <x:c r="K98" s="120" t="str">
        <x:v>已平仓</x:v>
      </x:c>
      <x:c r="L98" s="120" t="str">
        <x:f>IF(K98="未平仓","浮盈未实现",IF(I98&gt;='Data &amp; Targets'!$C$31,"大收益交易",IF(I98&lt;0,"亏损","普通盈利")))</x:f>
        <x:v>亏损</x:v>
      </x:c>
      <x:c r="M98" s="120" t="str">
        <x:v>EMA52-300 level</x:v>
      </x:c>
      <x:c r="N98" s="120" t="str">
        <x:v>trail</x:v>
      </x:c>
    </x:row>
    <x:row r="99" ht="23" customHeight="1">
      <x:c r="A99" s="120" t="str">
        <x:v>EMA25最高价3ATR</x:v>
      </x:c>
      <x:c r="B99" s="120" t="str">
        <x:v>多</x:v>
      </x:c>
      <x:c r="C99" s="124" t="n">
        <x:v>45809</x:v>
      </x:c>
      <x:c r="D99" s="124" t="n">
        <x:v>45830</x:v>
      </x:c>
      <x:c r="E99" s="125" t="n">
        <x:v>104591.88</x:v>
      </x:c>
      <x:c r="F99" s="125" t="n">
        <x:v>102120.02</x:v>
      </x:c>
      <x:c r="G99" s="120" t="n">
        <x:v>21</x:v>
      </x:c>
      <x:c r="H99" s="125" t="n">
        <x:v>-256.0975001118634</x:v>
      </x:c>
      <x:c r="I99" s="126" t="n">
        <x:f>H99/'Data &amp; Targets'!$C$34</x:f>
        <x:v>-0.025609750011186337</x:v>
      </x:c>
      <x:c r="J99" s="126" t="n">
        <x:v>0.056775822367854945</x:v>
      </x:c>
      <x:c r="K99" s="120" t="str">
        <x:v>已平仓</x:v>
      </x:c>
      <x:c r="L99" s="120" t="str">
        <x:f>IF(K99="未平仓","浮盈未实现",IF(I99&gt;='Data &amp; Targets'!$C$31,"大收益交易",IF(I99&lt;0,"亏损","普通盈利")))</x:f>
        <x:v>亏损</x:v>
      </x:c>
      <x:c r="M99" s="120" t="str">
        <x:v>ATR trail close</x:v>
      </x:c>
      <x:c r="N99" s="120" t="str">
        <x:v>trail</x:v>
      </x:c>
    </x:row>
    <x:row r="100" ht="23" customHeight="1">
      <x:c r="A100" s="120" t="str">
        <x:v>EMA25最高价3ATR</x:v>
      </x:c>
      <x:c r="B100" s="120" t="str">
        <x:v>多</x:v>
      </x:c>
      <x:c r="C100" s="124" t="n">
        <x:v>45832</x:v>
      </x:c>
      <x:c r="D100" s="124" t="n">
        <x:v>45871</x:v>
      </x:c>
      <x:c r="E100" s="125" t="n">
        <x:v>105333.94</x:v>
      </x:c>
      <x:c r="F100" s="125" t="n">
        <x:v>113297.92</x:v>
      </x:c>
      <x:c r="G100" s="120" t="n">
        <x:v>39</x:v>
      </x:c>
      <x:c r="H100" s="125" t="n">
        <x:v>735.3136263582276</x:v>
      </x:c>
      <x:c r="I100" s="126" t="n">
        <x:f>H100/'Data &amp; Targets'!$C$34</x:f>
        <x:v>0.07353136263582276</x:v>
      </x:c>
      <x:c r="J100" s="126" t="n">
        <x:v>0.1697844018746475</x:v>
      </x:c>
      <x:c r="K100" s="120" t="str">
        <x:v>已平仓</x:v>
      </x:c>
      <x:c r="L100" s="120" t="str">
        <x:f>IF(K100="未平仓","浮盈未实现",IF(I100&gt;='Data &amp; Targets'!$C$31,"大收益交易",IF(I100&lt;0,"亏损","普通盈利")))</x:f>
        <x:v>普通盈利</x:v>
      </x:c>
      <x:c r="M100" s="120" t="str">
        <x:v>ATR trail close</x:v>
      </x:c>
      <x:c r="N100" s="120" t="str">
        <x:v>trail</x:v>
      </x:c>
    </x:row>
    <x:row r="101" ht="23" customHeight="1">
      <x:c r="A101" s="120" t="str">
        <x:v>EMA25最高价3ATR</x:v>
      </x:c>
      <x:c r="B101" s="120" t="str">
        <x:v>多</x:v>
      </x:c>
      <x:c r="C101" s="124" t="n">
        <x:v>45877</x:v>
      </x:c>
      <x:c r="D101" s="124" t="n">
        <x:v>45889</x:v>
      </x:c>
      <x:c r="E101" s="125" t="n">
        <x:v>117472.02</x:v>
      </x:c>
      <x:c r="F101" s="125" t="n">
        <x:v>112872.95</x:v>
      </x:c>
      <x:c r="G101" s="120" t="n">
        <x:v>12</x:v>
      </x:c>
      <x:c r="H101" s="125" t="n">
        <x:v>-411.11193712341094</x:v>
      </x:c>
      <x:c r="I101" s="126" t="n">
        <x:f>H101/'Data &amp; Targets'!$C$34</x:f>
        <x:v>-0.04111119371234109</x:v>
      </x:c>
      <x:c r="J101" s="126" t="n">
        <x:v>0.05960551287021376</x:v>
      </x:c>
      <x:c r="K101" s="120" t="str">
        <x:v>已平仓</x:v>
      </x:c>
      <x:c r="L101" s="120" t="str">
        <x:f>IF(K101="未平仓","浮盈未实现",IF(I101&gt;='Data &amp; Targets'!$C$31,"大收益交易",IF(I101&lt;0,"亏损","普通盈利")))</x:f>
        <x:v>亏损</x:v>
      </x:c>
      <x:c r="M101" s="120" t="str">
        <x:v>ATR trail close</x:v>
      </x:c>
      <x:c r="N101" s="120" t="str">
        <x:v>trail</x:v>
      </x:c>
    </x:row>
    <x:row r="102" ht="23" customHeight="1">
      <x:c r="A102" s="120" t="str">
        <x:v>EMA25最高价3ATR</x:v>
      </x:c>
      <x:c r="B102" s="120" t="str">
        <x:v>多</x:v>
      </x:c>
      <x:c r="C102" s="124" t="n">
        <x:v>45892</x:v>
      </x:c>
      <x:c r="D102" s="124" t="n">
        <x:v>45894</x:v>
      </x:c>
      <x:c r="E102" s="125" t="n">
        <x:v>116936</x:v>
      </x:c>
      <x:c r="F102" s="125" t="n">
        <x:v>113493.59</x:v>
      </x:c>
      <x:c r="G102" s="120" t="n">
        <x:v>2</x:v>
      </x:c>
      <x:c r="H102" s="125" t="n">
        <x:v>-314.08972343846233</x:v>
      </x:c>
      <x:c r="I102" s="126" t="n">
        <x:f>H102/'Data &amp; Targets'!$C$34</x:f>
        <x:v>-0.03140897234384623</x:v>
      </x:c>
      <x:c r="J102" s="126" t="n">
        <x:v>0.000803858520900258</x:v>
      </x:c>
      <x:c r="K102" s="120" t="str">
        <x:v>已平仓</x:v>
      </x:c>
      <x:c r="L102" s="120" t="str">
        <x:f>IF(K102="未平仓","浮盈未实现",IF(I102&gt;='Data &amp; Targets'!$C$31,"大收益交易",IF(I102&lt;0,"亏损","普通盈利")))</x:f>
        <x:v>亏损</x:v>
      </x:c>
      <x:c r="M102" s="120" t="str">
        <x:v>EMA52-300 level</x:v>
      </x:c>
      <x:c r="N102" s="120" t="str">
        <x:v>trail</x:v>
      </x:c>
    </x:row>
    <x:row r="103" ht="23" customHeight="1">
      <x:c r="A103" s="120" t="str">
        <x:v>EMA25最高价3ATR</x:v>
      </x:c>
      <x:c r="B103" s="120" t="str">
        <x:v>多</x:v>
      </x:c>
      <x:c r="C103" s="124" t="n">
        <x:v>45930</x:v>
      </x:c>
      <x:c r="D103" s="124" t="n">
        <x:v>45941</x:v>
      </x:c>
      <x:c r="E103" s="125" t="n">
        <x:v>114311.97</x:v>
      </x:c>
      <x:c r="F103" s="125" t="n">
        <x:v>112774.49</x:v>
      </x:c>
      <x:c r="G103" s="120" t="n">
        <x:v>11</x:v>
      </x:c>
      <x:c r="H103" s="125" t="n">
        <x:v>-154.36410202711016</x:v>
      </x:c>
      <x:c r="I103" s="126" t="n">
        <x:f>H103/'Data &amp; Targets'!$C$34</x:f>
        <x:v>-0.015436410202711016</x:v>
      </x:c>
      <x:c r="J103" s="126" t="n">
        <x:v>0.10399313387740584</x:v>
      </x:c>
      <x:c r="K103" s="120" t="str">
        <x:v>已平仓</x:v>
      </x:c>
      <x:c r="L103" s="120" t="str">
        <x:f>IF(K103="未平仓","浮盈未实现",IF(I103&gt;='Data &amp; Targets'!$C$31,"大收益交易",IF(I103&lt;0,"亏损","普通盈利")))</x:f>
        <x:v>亏损</x:v>
      </x:c>
      <x:c r="M103" s="120" t="str">
        <x:v>ATR trail close</x:v>
      </x:c>
      <x:c r="N103" s="120" t="str">
        <x:v>trail</x:v>
      </x:c>
    </x:row>
    <x:row r="104" ht="23" customHeight="1">
      <x:c r="A104" s="120" t="str">
        <x:v>EMA25最高价3ATR</x:v>
      </x:c>
      <x:c r="B104" s="120" t="str">
        <x:v>多</x:v>
      </x:c>
      <x:c r="C104" s="124" t="n">
        <x:v>46105</x:v>
      </x:c>
      <x:c r="D104" s="124" t="n">
        <x:v>46106</x:v>
      </x:c>
      <x:c r="E104" s="125" t="n">
        <x:v>70906.45</x:v>
      </x:c>
      <x:c r="F104" s="125" t="n">
        <x:v>70556.74</x:v>
      </x:c>
      <x:c r="G104" s="120" t="n">
        <x:v>1</x:v>
      </x:c>
      <x:c r="H104" s="125" t="n">
        <x:v>-69.27059385993684</x:v>
      </x:c>
      <x:c r="I104" s="126" t="n">
        <x:f>H104/'Data &amp; Targets'!$C$34</x:f>
        <x:v>-0.006927059385993684</x:v>
      </x:c>
      <x:c r="J104" s="126" t="n">
        <x:v>0.0069605797497971356</x:v>
      </x:c>
      <x:c r="K104" s="120" t="str">
        <x:v>已平仓</x:v>
      </x:c>
      <x:c r="L104" s="120" t="str">
        <x:f>IF(K104="未平仓","浮盈未实现",IF(I104&gt;='Data &amp; Targets'!$C$31,"大收益交易",IF(I104&lt;0,"亏损","普通盈利")))</x:f>
        <x:v>亏损</x:v>
      </x:c>
      <x:c r="M104" s="120" t="str">
        <x:v>EMA52-300 level</x:v>
      </x:c>
      <x:c r="N104" s="120" t="str">
        <x:v>trail</x:v>
      </x:c>
    </x:row>
    <x:row r="105" ht="23" customHeight="1">
      <x:c r="A105" s="120" t="str">
        <x:v>EMA25最高价3ATR</x:v>
      </x:c>
      <x:c r="B105" s="120" t="str">
        <x:v>多</x:v>
      </x:c>
      <x:c r="C105" s="124" t="n">
        <x:v>46229</x:v>
      </x:c>
      <x:c r="D105" s="124" t="n">
        <x:v>46231</x:v>
      </x:c>
      <x:c r="E105" s="125" t="n">
        <x:v>64375.01</x:v>
      </x:c>
      <x:c r="F105" s="125" t="n">
        <x:v>63755.86</x:v>
      </x:c>
      <x:c r="G105" s="120" t="n">
        <x:v>2</x:v>
      </x:c>
      <x:c r="H105" s="125" t="n">
        <x:v>-116.08244721049385</x:v>
      </x:c>
      <x:c r="I105" s="126" t="n">
        <x:f>H105/'Data &amp; Targets'!$C$34</x:f>
        <x:v>-0.011608244721049385</x:v>
      </x:c>
      <x:c r="J105" s="126" t="n">
        <x:v>0.021275181161136913</x:v>
      </x:c>
      <x:c r="K105" s="120" t="str">
        <x:v>已平仓</x:v>
      </x:c>
      <x:c r="L105" s="120" t="str">
        <x:f>IF(K105="未平仓","浮盈未实现",IF(I105&gt;='Data &amp; Targets'!$C$31,"大收益交易",IF(I105&lt;0,"亏损","普通盈利")))</x:f>
        <x:v>亏损</x:v>
      </x:c>
      <x:c r="M105" s="120" t="str">
        <x:v>EMA52-300 level</x:v>
      </x:c>
      <x:c r="N105" s="120" t="str">
        <x:v>trail</x:v>
      </x:c>
    </x:row>
    <x:row r="106" ht="23" customHeight="1">
      <x:c r="A106" s="120" t="str">
        <x:v>EMA25最高价3ATR</x:v>
      </x:c>
      <x:c r="B106" s="120" t="str">
        <x:v>多</x:v>
      </x:c>
      <x:c r="C106" s="124" t="n">
        <x:v>46234</x:v>
      </x:c>
      <x:c r="D106" s="124" t="n">
        <x:v>46235</x:v>
      </x:c>
      <x:c r="E106" s="125" t="n">
        <x:v>64780.03</x:v>
      </x:c>
      <x:c r="F106" s="125" t="n">
        <x:v>62887.88</x:v>
      </x:c>
      <x:c r="G106" s="120" t="n">
        <x:v>1</x:v>
      </x:c>
      <x:c r="H106" s="125" t="n">
        <x:v>-311.79638385471594</x:v>
      </x:c>
      <x:c r="I106" s="126" t="n">
        <x:f>H106/'Data &amp; Targets'!$C$34</x:f>
        <x:v>-0.031179638385471595</x:v>
      </x:c>
      <x:c r="J106" s="126" t="n">
        <x:v>0.009717964008352453</x:v>
      </x:c>
      <x:c r="K106" s="120" t="str">
        <x:v>已平仓</x:v>
      </x:c>
      <x:c r="L106" s="120" t="str">
        <x:f>IF(K106="未平仓","浮盈未实现",IF(I106&gt;='Data &amp; Targets'!$C$31,"大收益交易",IF(I106&lt;0,"亏损","普通盈利")))</x:f>
        <x:v>亏损</x:v>
      </x:c>
      <x:c r="M106" s="120" t="str">
        <x:v>EMA52-300 level</x:v>
      </x:c>
      <x:c r="N106" s="120" t="str">
        <x:v>trail</x:v>
      </x:c>
    </x:row>
    <x:row r="107" ht="23" customHeight="1">
      <x:c r="A107" s="120" t="str">
        <x:v>EMA25最高价3ATR</x:v>
      </x:c>
      <x:c r="B107" s="120" t="str">
        <x:v>多</x:v>
      </x:c>
      <x:c r="C107" s="124" t="n">
        <x:v>46239</x:v>
      </x:c>
      <x:c r="D107" s="124" t="n">
        <x:v>46241</x:v>
      </x:c>
      <x:c r="E107" s="125" t="n">
        <x:v>64106.55</x:v>
      </x:c>
      <x:c r="F107" s="125" t="n">
        <x:v>64323.61</x:v>
      </x:c>
      <x:c r="G107" s="120" t="n">
        <x:v>2</x:v>
      </x:c>
      <x:c r="H107" s="125" t="n">
        <x:v>13.8253953769151</x:v>
      </x:c>
      <x:c r="I107" s="126" t="n">
        <x:f>H107/'Data &amp; Targets'!$C$34</x:f>
        <x:v>0.00138253953769151</x:v>
      </x:c>
      <x:c r="J107" s="126" t="n">
        <x:v>0.014330360938156872</x:v>
      </x:c>
      <x:c r="K107" s="120" t="str">
        <x:v>已平仓</x:v>
      </x:c>
      <x:c r="L107" s="120" t="str">
        <x:f>IF(K107="未平仓","浮盈未实现",IF(I107&gt;='Data &amp; Targets'!$C$31,"大收益交易",IF(I107&lt;0,"亏损","普通盈利")))</x:f>
        <x:v>普通盈利</x:v>
      </x:c>
      <x:c r="M107" s="120" t="str">
        <x:v>EMA52-300 level</x:v>
      </x:c>
      <x:c r="N107" s="120" t="str">
        <x:v>trail</x:v>
      </x:c>
    </x:row>
    <x:row r="108" ht="23" customHeight="1">
      <x:c r="A108" s="120" t="str">
        <x:v>EMA25最高价3ATR</x:v>
      </x:c>
      <x:c r="B108" s="120" t="str">
        <x:v>多</x:v>
      </x:c>
      <x:c r="C108" s="124" t="n">
        <x:v>46252</x:v>
      </x:c>
      <x:c r="D108" s="124"/>
      <x:c r="E108" s="125" t="n">
        <x:v>64532.11</x:v>
      </x:c>
      <x:c r="F108" s="125" t="n">
        <x:v>80341.83</x:v>
      </x:c>
      <x:c r="G108" s="120" t="n">
        <x:v>19</x:v>
      </x:c>
      <x:c r="H108" s="125" t="n">
        <x:v>2439.899747583025</x:v>
      </x:c>
      <x:c r="I108" s="126" t="n">
        <x:f>H108/'Data &amp; Targets'!$C$34</x:f>
        <x:v>0.2439899747583025</x:v>
      </x:c>
      <x:c r="J108" s="126"/>
      <x:c r="K108" s="120" t="str">
        <x:v>未平仓</x:v>
      </x:c>
      <x:c r="L108" s="120" t="str">
        <x:f>IF(K108="未平仓","浮盈未实现",IF(I108&gt;='Data &amp; Targets'!$C$31,"大收益交易",IF(I108&lt;0,"亏损","普通盈利")))</x:f>
        <x:v>浮盈未实现</x:v>
      </x:c>
      <x:c r="M108" s="120" t="str">
        <x:v>期末按收盘估值；仅扣已付开仓费</x:v>
      </x:c>
      <x:c r="N108" s="120" t="str">
        <x:v>trail</x:v>
      </x:c>
    </x:row>
    <x:row r="109" ht="23" customHeight="1">
      <x:c r="A109" s="120" t="str">
        <x:v>EMA25下跌确认5日</x:v>
      </x:c>
      <x:c r="B109" s="120" t="str">
        <x:v>多</x:v>
      </x:c>
      <x:c r="C109" s="124" t="n">
        <x:v>45372</x:v>
      </x:c>
      <x:c r="D109" s="124" t="n">
        <x:v>45396</x:v>
      </x:c>
      <x:c r="E109" s="125" t="n">
        <x:v>67840.51</x:v>
      </x:c>
      <x:c r="F109" s="125" t="n">
        <x:v>63924.52</x:v>
      </x:c>
      <x:c r="G109" s="120" t="n">
        <x:v>24</x:v>
      </x:c>
      <x:c r="H109" s="125" t="n">
        <x:v>-596.6575177574576</x:v>
      </x:c>
      <x:c r="I109" s="126" t="n">
        <x:f>H109/'Data &amp; Targets'!$C$34</x:f>
        <x:v>-0.05966575177574576</x:v>
      </x:c>
      <x:c r="J109" s="126" t="n">
        <x:v>0.07307551196180584</x:v>
      </x:c>
      <x:c r="K109" s="120" t="str">
        <x:v>已平仓</x:v>
      </x:c>
      <x:c r="L109" s="120" t="str">
        <x:f>IF(K109="未平仓","浮盈未实现",IF(I109&gt;='Data &amp; Targets'!$C$31,"大收益交易",IF(I109&lt;0,"亏损","普通盈利")))</x:f>
        <x:v>亏损</x:v>
      </x:c>
      <x:c r="M109" s="120" t="str">
        <x:v>EMA52-300 level</x:v>
      </x:c>
      <x:c r="N109" s="120" t="str">
        <x:v>delay5</x:v>
      </x:c>
    </x:row>
    <x:row r="110" ht="23" customHeight="1">
      <x:c r="A110" s="120" t="str">
        <x:v>EMA25下跌确认5日</x:v>
      </x:c>
      <x:c r="B110" s="120" t="str">
        <x:v>多</x:v>
      </x:c>
      <x:c r="C110" s="124" t="n">
        <x:v>45405</x:v>
      </x:c>
      <x:c r="D110" s="124" t="n">
        <x:v>45409</x:v>
      </x:c>
      <x:c r="E110" s="125" t="n">
        <x:v>66819.32</x:v>
      </x:c>
      <x:c r="F110" s="125" t="n">
        <x:v>63770</x:v>
      </x:c>
      <x:c r="G110" s="120" t="n">
        <x:v>4</x:v>
      </x:c>
      <x:c r="H110" s="125" t="n">
        <x:v>-475.896689759789</x:v>
      </x:c>
      <x:c r="I110" s="126" t="n">
        <x:f>H110/'Data &amp; Targets'!$C$34</x:f>
        <x:v>-0.047589668975978903</x:v>
      </x:c>
      <x:c r="J110" s="126" t="n">
        <x:v>0.005442886877627506</x:v>
      </x:c>
      <x:c r="K110" s="120" t="str">
        <x:v>已平仓</x:v>
      </x:c>
      <x:c r="L110" s="120" t="str">
        <x:f>IF(K110="未平仓","浮盈未实现",IF(I110&gt;='Data &amp; Targets'!$C$31,"大收益交易",IF(I110&lt;0,"亏损","普通盈利")))</x:f>
        <x:v>亏损</x:v>
      </x:c>
      <x:c r="M110" s="120" t="str">
        <x:v>EMA52-300 level</x:v>
      </x:c>
      <x:c r="N110" s="120" t="str">
        <x:v>delay5</x:v>
      </x:c>
    </x:row>
    <x:row r="111" ht="23" customHeight="1">
      <x:c r="A111" s="120" t="str">
        <x:v>EMA25下跌确认5日</x:v>
      </x:c>
      <x:c r="B111" s="120" t="str">
        <x:v>多</x:v>
      </x:c>
      <x:c r="C111" s="124" t="n">
        <x:v>45506</x:v>
      </x:c>
      <x:c r="D111" s="124" t="n">
        <x:v>45507</x:v>
      </x:c>
      <x:c r="E111" s="125" t="n">
        <x:v>65354.02</x:v>
      </x:c>
      <x:c r="F111" s="125" t="n">
        <x:v>61498.34</x:v>
      </x:c>
      <x:c r="G111" s="120" t="n">
        <x:v>1</x:v>
      </x:c>
      <x:c r="H111" s="125" t="n">
        <x:v>-609.378330514328</x:v>
      </x:c>
      <x:c r="I111" s="126" t="n">
        <x:f>H111/'Data &amp; Targets'!$C$34</x:f>
        <x:v>-0.0609378330514328</x:v>
      </x:c>
      <x:c r="J111" s="126" t="n">
        <x:v>0.00370474532400622</x:v>
      </x:c>
      <x:c r="K111" s="120" t="str">
        <x:v>已平仓</x:v>
      </x:c>
      <x:c r="L111" s="120" t="str">
        <x:f>IF(K111="未平仓","浮盈未实现",IF(I111&gt;='Data &amp; Targets'!$C$31,"大收益交易",IF(I111&lt;0,"亏损","普通盈利")))</x:f>
        <x:v>亏损</x:v>
      </x:c>
      <x:c r="M111" s="120" t="str">
        <x:v>EMA52-300 level</x:v>
      </x:c>
      <x:c r="N111" s="120" t="str">
        <x:v>delay5</x:v>
      </x:c>
    </x:row>
    <x:row r="112" ht="23" customHeight="1">
      <x:c r="A112" s="120" t="str">
        <x:v>EMA25下跌确认5日</x:v>
      </x:c>
      <x:c r="B112" s="120" t="str">
        <x:v>多</x:v>
      </x:c>
      <x:c r="C112" s="124" t="n">
        <x:v>45570</x:v>
      </x:c>
      <x:c r="D112" s="124" t="n">
        <x:v>45575</x:v>
      </x:c>
      <x:c r="E112" s="125" t="n">
        <x:v>62086</x:v>
      </x:c>
      <x:c r="F112" s="125" t="n">
        <x:v>60636.01</x:v>
      </x:c>
      <x:c r="G112" s="120" t="n">
        <x:v>5</x:v>
      </x:c>
      <x:c r="H112" s="125" t="n">
        <x:v>-253.3118593563763</x:v>
      </x:c>
      <x:c r="I112" s="126" t="n">
        <x:f>H112/'Data &amp; Targets'!$C$34</x:f>
        <x:v>-0.02533118593563763</x:v>
      </x:c>
      <x:c r="J112" s="126" t="n">
        <x:v>0.0385302644718617</x:v>
      </x:c>
      <x:c r="K112" s="120" t="str">
        <x:v>已平仓</x:v>
      </x:c>
      <x:c r="L112" s="120" t="str">
        <x:f>IF(K112="未平仓","浮盈未实现",IF(I112&gt;='Data &amp; Targets'!$C$31,"大收益交易",IF(I112&lt;0,"亏损","普通盈利")))</x:f>
        <x:v>亏损</x:v>
      </x:c>
      <x:c r="M112" s="120" t="str">
        <x:v>EMA52-300 level</x:v>
      </x:c>
      <x:c r="N112" s="120" t="str">
        <x:v>delay5</x:v>
      </x:c>
    </x:row>
    <x:row r="113" ht="23" customHeight="1">
      <x:c r="A113" s="120" t="str">
        <x:v>EMA25下跌确认5日</x:v>
      </x:c>
      <x:c r="B113" s="120" t="str">
        <x:v>多</x:v>
      </x:c>
      <x:c r="C113" s="124" t="n">
        <x:v>45577</x:v>
      </x:c>
      <x:c r="D113" s="124" t="n">
        <x:v>45667</x:v>
      </x:c>
      <x:c r="E113" s="125" t="n">
        <x:v>62539.99</x:v>
      </x:c>
      <x:c r="F113" s="125" t="n">
        <x:v>92552.49</x:v>
      </x:c>
      <x:c r="G113" s="120" t="n">
        <x:v>90</x:v>
      </x:c>
      <x:c r="H113" s="125" t="n">
        <x:v>4774.130523525829</x:v>
      </x:c>
      <x:c r="I113" s="126" t="n">
        <x:f>H113/'Data &amp; Targets'!$C$34</x:f>
        <x:v>0.47741305235258286</x:v>
      </x:c>
      <x:c r="J113" s="126" t="n">
        <x:v>0.7325394519570598</x:v>
      </x:c>
      <x:c r="K113" s="120" t="str">
        <x:v>已平仓</x:v>
      </x:c>
      <x:c r="L113" s="120" t="str">
        <x:f>IF(K113="未平仓","浮盈未实现",IF(I113&gt;='Data &amp; Targets'!$C$31,"大收益交易",IF(I113&lt;0,"亏损","普通盈利")))</x:f>
        <x:v>大收益交易</x:v>
      </x:c>
      <x:c r="M113" s="120" t="str">
        <x:v>EMA52-300 level</x:v>
      </x:c>
      <x:c r="N113" s="120" t="str">
        <x:v>delay5</x:v>
      </x:c>
    </x:row>
    <x:row r="114" ht="23" customHeight="1">
      <x:c r="A114" s="120" t="str">
        <x:v>EMA25下跌确认5日</x:v>
      </x:c>
      <x:c r="B114" s="120" t="str">
        <x:v>多</x:v>
      </x:c>
      <x:c r="C114" s="124" t="n">
        <x:v>45672</x:v>
      </x:c>
      <x:c r="D114" s="124" t="n">
        <x:v>45691</x:v>
      </x:c>
      <x:c r="E114" s="125" t="n">
        <x:v>96560.85</x:v>
      </x:c>
      <x:c r="F114" s="125" t="n">
        <x:v>97700.59</x:v>
      </x:c>
      <x:c r="G114" s="120" t="n">
        <x:v>19</x:v>
      </x:c>
      <x:c r="H114" s="125" t="n">
        <x:v>97.91531039753592</x:v>
      </x:c>
      <x:c r="I114" s="126" t="n">
        <x:f>H114/'Data &amp; Targets'!$C$34</x:f>
        <x:v>0.009791531039753592</x:v>
      </x:c>
      <x:c r="J114" s="126" t="n">
        <x:v>0.13491130204425494</x:v>
      </x:c>
      <x:c r="K114" s="120" t="str">
        <x:v>已平仓</x:v>
      </x:c>
      <x:c r="L114" s="120" t="str">
        <x:f>IF(K114="未平仓","浮盈未实现",IF(I114&gt;='Data &amp; Targets'!$C$31,"大收益交易",IF(I114&lt;0,"亏损","普通盈利")))</x:f>
        <x:v>普通盈利</x:v>
      </x:c>
      <x:c r="M114" s="120" t="str">
        <x:v>EMA52-300 level</x:v>
      </x:c>
      <x:c r="N114" s="120" t="str">
        <x:v>delay5</x:v>
      </x:c>
    </x:row>
    <x:row r="115" ht="23" customHeight="1">
      <x:c r="A115" s="120" t="str">
        <x:v>EMA25下跌确认5日</x:v>
      </x:c>
      <x:c r="B115" s="120" t="str">
        <x:v>多</x:v>
      </x:c>
      <x:c r="C115" s="124" t="n">
        <x:v>45692</x:v>
      </x:c>
      <x:c r="D115" s="124" t="n">
        <x:v>45693</x:v>
      </x:c>
      <x:c r="E115" s="125" t="n">
        <x:v>101328.51</x:v>
      </x:c>
      <x:c r="F115" s="125" t="n">
        <x:v>97763.14</x:v>
      </x:c>
      <x:c r="G115" s="120" t="n">
        <x:v>1</x:v>
      </x:c>
      <x:c r="H115" s="125" t="n">
        <x:v>-371.5106094030195</x:v>
      </x:c>
      <x:c r="I115" s="126" t="n">
        <x:f>H115/'Data &amp; Targets'!$C$34</x:f>
        <x:v>-0.03715106094030195</x:v>
      </x:c>
      <x:c r="J115" s="126" t="n">
        <x:v>0.0039850581045748346</x:v>
      </x:c>
      <x:c r="K115" s="120" t="str">
        <x:v>已平仓</x:v>
      </x:c>
      <x:c r="L115" s="120" t="str">
        <x:f>IF(K115="未平仓","浮盈未实现",IF(I115&gt;='Data &amp; Targets'!$C$31,"大收益交易",IF(I115&lt;0,"亏损","普通盈利")))</x:f>
        <x:v>亏损</x:v>
      </x:c>
      <x:c r="M115" s="120" t="str">
        <x:v>EMA52-300 level</x:v>
      </x:c>
      <x:c r="N115" s="120" t="str">
        <x:v>delay5</x:v>
      </x:c>
    </x:row>
    <x:row r="116" ht="23" customHeight="1">
      <x:c r="A116" s="120" t="str">
        <x:v>EMA25下跌确认5日</x:v>
      </x:c>
      <x:c r="B116" s="120" t="str">
        <x:v>多</x:v>
      </x:c>
      <x:c r="C116" s="124" t="n">
        <x:v>45809</x:v>
      </x:c>
      <x:c r="D116" s="124" t="n">
        <x:v>45830</x:v>
      </x:c>
      <x:c r="E116" s="125" t="n">
        <x:v>104591.88</x:v>
      </x:c>
      <x:c r="F116" s="125" t="n">
        <x:v>102120.02</x:v>
      </x:c>
      <x:c r="G116" s="120" t="n">
        <x:v>21</x:v>
      </x:c>
      <x:c r="H116" s="125" t="n">
        <x:v>-256.0975001118634</x:v>
      </x:c>
      <x:c r="I116" s="126" t="n">
        <x:f>H116/'Data &amp; Targets'!$C$34</x:f>
        <x:v>-0.025609750011186337</x:v>
      </x:c>
      <x:c r="J116" s="126" t="n">
        <x:v>0.056775822367854945</x:v>
      </x:c>
      <x:c r="K116" s="120" t="str">
        <x:v>已平仓</x:v>
      </x:c>
      <x:c r="L116" s="120" t="str">
        <x:f>IF(K116="未平仓","浮盈未实现",IF(I116&gt;='Data &amp; Targets'!$C$31,"大收益交易",IF(I116&lt;0,"亏损","普通盈利")))</x:f>
        <x:v>亏损</x:v>
      </x:c>
      <x:c r="M116" s="120" t="str">
        <x:v>EMA52-300 level</x:v>
      </x:c>
      <x:c r="N116" s="120" t="str">
        <x:v>delay5</x:v>
      </x:c>
    </x:row>
    <x:row r="117" ht="23" customHeight="1">
      <x:c r="A117" s="120" t="str">
        <x:v>EMA25下跌确认5日</x:v>
      </x:c>
      <x:c r="B117" s="120" t="str">
        <x:v>多</x:v>
      </x:c>
      <x:c r="C117" s="124" t="n">
        <x:v>45832</x:v>
      </x:c>
      <x:c r="D117" s="124" t="n">
        <x:v>45889</x:v>
      </x:c>
      <x:c r="E117" s="125" t="n">
        <x:v>105333.94</x:v>
      </x:c>
      <x:c r="F117" s="125" t="n">
        <x:v>112872.95</x:v>
      </x:c>
      <x:c r="G117" s="120" t="n">
        <x:v>57</x:v>
      </x:c>
      <x:c r="H117" s="125" t="n">
        <x:v>695.0089505813601</x:v>
      </x:c>
      <x:c r="I117" s="126" t="n">
        <x:f>H117/'Data &amp; Targets'!$C$34</x:f>
        <x:v>0.069500895058136</x:v>
      </x:c>
      <x:c r="J117" s="126" t="n">
        <x:v>0.18170838383146015</x:v>
      </x:c>
      <x:c r="K117" s="120" t="str">
        <x:v>已平仓</x:v>
      </x:c>
      <x:c r="L117" s="120" t="str">
        <x:f>IF(K117="未平仓","浮盈未实现",IF(I117&gt;='Data &amp; Targets'!$C$31,"大收益交易",IF(I117&lt;0,"亏损","普通盈利")))</x:f>
        <x:v>普通盈利</x:v>
      </x:c>
      <x:c r="M117" s="120" t="str">
        <x:v>EMA52-300 level</x:v>
      </x:c>
      <x:c r="N117" s="120" t="str">
        <x:v>delay5</x:v>
      </x:c>
    </x:row>
    <x:row r="118" ht="23" customHeight="1">
      <x:c r="A118" s="120" t="str">
        <x:v>EMA25下跌确认5日</x:v>
      </x:c>
      <x:c r="B118" s="120" t="str">
        <x:v>多</x:v>
      </x:c>
      <x:c r="C118" s="124" t="n">
        <x:v>45892</x:v>
      </x:c>
      <x:c r="D118" s="124" t="n">
        <x:v>45894</x:v>
      </x:c>
      <x:c r="E118" s="125" t="n">
        <x:v>116936</x:v>
      </x:c>
      <x:c r="F118" s="125" t="n">
        <x:v>113493.59</x:v>
      </x:c>
      <x:c r="G118" s="120" t="n">
        <x:v>2</x:v>
      </x:c>
      <x:c r="H118" s="125" t="n">
        <x:v>-314.08972343846233</x:v>
      </x:c>
      <x:c r="I118" s="126" t="n">
        <x:f>H118/'Data &amp; Targets'!$C$34</x:f>
        <x:v>-0.03140897234384623</x:v>
      </x:c>
      <x:c r="J118" s="126" t="n">
        <x:v>0.000803858520900258</x:v>
      </x:c>
      <x:c r="K118" s="120" t="str">
        <x:v>已平仓</x:v>
      </x:c>
      <x:c r="L118" s="120" t="str">
        <x:f>IF(K118="未平仓","浮盈未实现",IF(I118&gt;='Data &amp; Targets'!$C$31,"大收益交易",IF(I118&lt;0,"亏损","普通盈利")))</x:f>
        <x:v>亏损</x:v>
      </x:c>
      <x:c r="M118" s="120" t="str">
        <x:v>EMA52-300 level</x:v>
      </x:c>
      <x:c r="N118" s="120" t="str">
        <x:v>delay5</x:v>
      </x:c>
    </x:row>
    <x:row r="119" ht="23" customHeight="1">
      <x:c r="A119" s="120" t="str">
        <x:v>EMA25下跌确认5日</x:v>
      </x:c>
      <x:c r="B119" s="120" t="str">
        <x:v>多</x:v>
      </x:c>
      <x:c r="C119" s="124" t="n">
        <x:v>45930</x:v>
      </x:c>
      <x:c r="D119" s="124" t="n">
        <x:v>45941</x:v>
      </x:c>
      <x:c r="E119" s="125" t="n">
        <x:v>114311.97</x:v>
      </x:c>
      <x:c r="F119" s="125" t="n">
        <x:v>112774.49</x:v>
      </x:c>
      <x:c r="G119" s="120" t="n">
        <x:v>11</x:v>
      </x:c>
      <x:c r="H119" s="125" t="n">
        <x:v>-154.36410202711016</x:v>
      </x:c>
      <x:c r="I119" s="126" t="n">
        <x:f>H119/'Data &amp; Targets'!$C$34</x:f>
        <x:v>-0.015436410202711016</x:v>
      </x:c>
      <x:c r="J119" s="126" t="n">
        <x:v>0.10399313387740584</x:v>
      </x:c>
      <x:c r="K119" s="120" t="str">
        <x:v>已平仓</x:v>
      </x:c>
      <x:c r="L119" s="120" t="str">
        <x:f>IF(K119="未平仓","浮盈未实现",IF(I119&gt;='Data &amp; Targets'!$C$31,"大收益交易",IF(I119&lt;0,"亏损","普通盈利")))</x:f>
        <x:v>亏损</x:v>
      </x:c>
      <x:c r="M119" s="120" t="str">
        <x:v>EMA52-300 level</x:v>
      </x:c>
      <x:c r="N119" s="120" t="str">
        <x:v>delay5</x:v>
      </x:c>
    </x:row>
    <x:row r="120" ht="23" customHeight="1">
      <x:c r="A120" s="120" t="str">
        <x:v>EMA25下跌确认5日</x:v>
      </x:c>
      <x:c r="B120" s="120" t="str">
        <x:v>多</x:v>
      </x:c>
      <x:c r="C120" s="124" t="n">
        <x:v>46105</x:v>
      </x:c>
      <x:c r="D120" s="124" t="n">
        <x:v>46106</x:v>
      </x:c>
      <x:c r="E120" s="125" t="n">
        <x:v>70906.45</x:v>
      </x:c>
      <x:c r="F120" s="125" t="n">
        <x:v>70556.74</x:v>
      </x:c>
      <x:c r="G120" s="120" t="n">
        <x:v>1</x:v>
      </x:c>
      <x:c r="H120" s="125" t="n">
        <x:v>-69.27059385993684</x:v>
      </x:c>
      <x:c r="I120" s="126" t="n">
        <x:f>H120/'Data &amp; Targets'!$C$34</x:f>
        <x:v>-0.006927059385993684</x:v>
      </x:c>
      <x:c r="J120" s="126" t="n">
        <x:v>0.0069605797497971356</x:v>
      </x:c>
      <x:c r="K120" s="120" t="str">
        <x:v>已平仓</x:v>
      </x:c>
      <x:c r="L120" s="120" t="str">
        <x:f>IF(K120="未平仓","浮盈未实现",IF(I120&gt;='Data &amp; Targets'!$C$31,"大收益交易",IF(I120&lt;0,"亏损","普通盈利")))</x:f>
        <x:v>亏损</x:v>
      </x:c>
      <x:c r="M120" s="120" t="str">
        <x:v>EMA52-300 level</x:v>
      </x:c>
      <x:c r="N120" s="120" t="str">
        <x:v>delay5</x:v>
      </x:c>
    </x:row>
    <x:row r="121" ht="23" customHeight="1">
      <x:c r="A121" s="120" t="str">
        <x:v>EMA25下跌确认5日</x:v>
      </x:c>
      <x:c r="B121" s="120" t="str">
        <x:v>多</x:v>
      </x:c>
      <x:c r="C121" s="124" t="n">
        <x:v>46229</x:v>
      </x:c>
      <x:c r="D121" s="124" t="n">
        <x:v>46231</x:v>
      </x:c>
      <x:c r="E121" s="125" t="n">
        <x:v>64375.01</x:v>
      </x:c>
      <x:c r="F121" s="125" t="n">
        <x:v>63755.86</x:v>
      </x:c>
      <x:c r="G121" s="120" t="n">
        <x:v>2</x:v>
      </x:c>
      <x:c r="H121" s="125" t="n">
        <x:v>-116.08244721049385</x:v>
      </x:c>
      <x:c r="I121" s="126" t="n">
        <x:f>H121/'Data &amp; Targets'!$C$34</x:f>
        <x:v>-0.011608244721049385</x:v>
      </x:c>
      <x:c r="J121" s="126" t="n">
        <x:v>0.021275181161136913</x:v>
      </x:c>
      <x:c r="K121" s="120" t="str">
        <x:v>已平仓</x:v>
      </x:c>
      <x:c r="L121" s="120" t="str">
        <x:f>IF(K121="未平仓","浮盈未实现",IF(I121&gt;='Data &amp; Targets'!$C$31,"大收益交易",IF(I121&lt;0,"亏损","普通盈利")))</x:f>
        <x:v>亏损</x:v>
      </x:c>
      <x:c r="M121" s="120" t="str">
        <x:v>EMA52-300 level</x:v>
      </x:c>
      <x:c r="N121" s="120" t="str">
        <x:v>delay5</x:v>
      </x:c>
    </x:row>
    <x:row r="122" ht="23" customHeight="1">
      <x:c r="A122" s="120" t="str">
        <x:v>EMA25下跌确认5日</x:v>
      </x:c>
      <x:c r="B122" s="120" t="str">
        <x:v>多</x:v>
      </x:c>
      <x:c r="C122" s="124" t="n">
        <x:v>46234</x:v>
      </x:c>
      <x:c r="D122" s="124" t="n">
        <x:v>46235</x:v>
      </x:c>
      <x:c r="E122" s="125" t="n">
        <x:v>64780.03</x:v>
      </x:c>
      <x:c r="F122" s="125" t="n">
        <x:v>62887.88</x:v>
      </x:c>
      <x:c r="G122" s="120" t="n">
        <x:v>1</x:v>
      </x:c>
      <x:c r="H122" s="125" t="n">
        <x:v>-311.79638385471594</x:v>
      </x:c>
      <x:c r="I122" s="126" t="n">
        <x:f>H122/'Data &amp; Targets'!$C$34</x:f>
        <x:v>-0.031179638385471595</x:v>
      </x:c>
      <x:c r="J122" s="126" t="n">
        <x:v>0.009717964008352453</x:v>
      </x:c>
      <x:c r="K122" s="120" t="str">
        <x:v>已平仓</x:v>
      </x:c>
      <x:c r="L122" s="120" t="str">
        <x:f>IF(K122="未平仓","浮盈未实现",IF(I122&gt;='Data &amp; Targets'!$C$31,"大收益交易",IF(I122&lt;0,"亏损","普通盈利")))</x:f>
        <x:v>亏损</x:v>
      </x:c>
      <x:c r="M122" s="120" t="str">
        <x:v>EMA52-300 level</x:v>
      </x:c>
      <x:c r="N122" s="120" t="str">
        <x:v>delay5</x:v>
      </x:c>
    </x:row>
    <x:row r="123" ht="23" customHeight="1">
      <x:c r="A123" s="120" t="str">
        <x:v>EMA25下跌确认5日</x:v>
      </x:c>
      <x:c r="B123" s="120" t="str">
        <x:v>多</x:v>
      </x:c>
      <x:c r="C123" s="124" t="n">
        <x:v>46239</x:v>
      </x:c>
      <x:c r="D123" s="124" t="n">
        <x:v>46241</x:v>
      </x:c>
      <x:c r="E123" s="125" t="n">
        <x:v>64106.55</x:v>
      </x:c>
      <x:c r="F123" s="125" t="n">
        <x:v>64323.61</x:v>
      </x:c>
      <x:c r="G123" s="120" t="n">
        <x:v>2</x:v>
      </x:c>
      <x:c r="H123" s="125" t="n">
        <x:v>13.8253953769151</x:v>
      </x:c>
      <x:c r="I123" s="126" t="n">
        <x:f>H123/'Data &amp; Targets'!$C$34</x:f>
        <x:v>0.00138253953769151</x:v>
      </x:c>
      <x:c r="J123" s="126" t="n">
        <x:v>0.014330360938156872</x:v>
      </x:c>
      <x:c r="K123" s="120" t="str">
        <x:v>已平仓</x:v>
      </x:c>
      <x:c r="L123" s="120" t="str">
        <x:f>IF(K123="未平仓","浮盈未实现",IF(I123&gt;='Data &amp; Targets'!$C$31,"大收益交易",IF(I123&lt;0,"亏损","普通盈利")))</x:f>
        <x:v>普通盈利</x:v>
      </x:c>
      <x:c r="M123" s="120" t="str">
        <x:v>EMA52-300 level</x:v>
      </x:c>
      <x:c r="N123" s="120" t="str">
        <x:v>delay5</x:v>
      </x:c>
    </x:row>
    <x:row r="124" ht="23" customHeight="1">
      <x:c r="A124" s="120" t="str">
        <x:v>EMA25下跌确认5日</x:v>
      </x:c>
      <x:c r="B124" s="120" t="str">
        <x:v>多</x:v>
      </x:c>
      <x:c r="C124" s="124" t="n">
        <x:v>46252</x:v>
      </x:c>
      <x:c r="D124" s="124"/>
      <x:c r="E124" s="125" t="n">
        <x:v>64532.11</x:v>
      </x:c>
      <x:c r="F124" s="125" t="n">
        <x:v>80341.83</x:v>
      </x:c>
      <x:c r="G124" s="120" t="n">
        <x:v>19</x:v>
      </x:c>
      <x:c r="H124" s="125" t="n">
        <x:v>2439.899747583025</x:v>
      </x:c>
      <x:c r="I124" s="126" t="n">
        <x:f>H124/'Data &amp; Targets'!$C$34</x:f>
        <x:v>0.2439899747583025</x:v>
      </x:c>
      <x:c r="J124" s="126"/>
      <x:c r="K124" s="120" t="str">
        <x:v>未平仓</x:v>
      </x:c>
      <x:c r="L124" s="120" t="str">
        <x:f>IF(K124="未平仓","浮盈未实现",IF(I124&gt;='Data &amp; Targets'!$C$31,"大收益交易",IF(I124&lt;0,"亏损","普通盈利")))</x:f>
        <x:v>浮盈未实现</x:v>
      </x:c>
      <x:c r="M124" s="120" t="str">
        <x:v>期末按收盘估值；仅扣已付开仓费</x:v>
      </x:c>
      <x:c r="N124" s="120" t="str">
        <x:v>delay5</x:v>
      </x:c>
    </x:row>
    <x:row r="125" ht="23" customHeight="1">
      <x:c r="A125" s="120" t="str">
        <x:v>结构线段25</x:v>
      </x:c>
      <x:c r="B125" s="120" t="str">
        <x:v>多</x:v>
      </x:c>
      <x:c r="C125" s="124" t="n">
        <x:v>45293</x:v>
      </x:c>
      <x:c r="D125" s="124" t="n">
        <x:v>45310</x:v>
      </x:c>
      <x:c r="E125" s="125" t="n">
        <x:v>44179.55</x:v>
      </x:c>
      <x:c r="F125" s="125" t="n">
        <x:v>41327.51</x:v>
      </x:c>
      <x:c r="G125" s="120" t="n">
        <x:v>17</x:v>
      </x:c>
      <x:c r="H125" s="125" t="n">
        <x:v>-664.911041420748</x:v>
      </x:c>
      <x:c r="I125" s="126" t="n">
        <x:f>H125/'Data &amp; Targets'!$C$34</x:f>
        <x:v>-0.0664911041420748</x:v>
      </x:c>
      <x:c r="J125" s="126" t="n">
        <x:v>0.10841961948458056</x:v>
      </x:c>
      <x:c r="K125" s="120" t="str">
        <x:v>已平仓</x:v>
      </x:c>
      <x:c r="L125" s="120" t="str">
        <x:f>IF(K125="未平仓","浮盈未实现",IF(I125&gt;='Data &amp; Targets'!$C$31,"大收益交易",IF(I125&lt;0,"亏损","普通盈利")))</x:f>
        <x:v>亏损</x:v>
      </x:c>
      <x:c r="M125" s="120" t="str">
        <x:v>EMA52-300 level</x:v>
      </x:c>
      <x:c r="N125" s="120" t="str">
        <x:v>structural</x:v>
      </x:c>
    </x:row>
    <x:row r="126" ht="23" customHeight="1">
      <x:c r="A126" s="120" t="str">
        <x:v>结构线段25</x:v>
      </x:c>
      <x:c r="B126" s="120" t="str">
        <x:v>多</x:v>
      </x:c>
      <x:c r="C126" s="124" t="n">
        <x:v>45331</x:v>
      </x:c>
      <x:c r="D126" s="124" t="n">
        <x:v>45396</x:v>
      </x:c>
      <x:c r="E126" s="125" t="n">
        <x:v>45288.66</x:v>
      </x:c>
      <x:c r="F126" s="125" t="n">
        <x:v>63924.52</x:v>
      </x:c>
      <x:c r="G126" s="120" t="n">
        <x:v>65</x:v>
      </x:c>
      <x:c r="H126" s="125" t="n">
        <x:v>4090.791562391114</x:v>
      </x:c>
      <x:c r="I126" s="126" t="n">
        <x:f>H126/'Data &amp; Targets'!$C$34</x:f>
        <x:v>0.4090791562391114</x:v>
      </x:c>
      <x:c r="J126" s="126" t="n">
        <x:v>0.6290391457817475</x:v>
      </x:c>
      <x:c r="K126" s="120" t="str">
        <x:v>已平仓</x:v>
      </x:c>
      <x:c r="L126" s="120" t="str">
        <x:f>IF(K126="未平仓","浮盈未实现",IF(I126&gt;='Data &amp; Targets'!$C$31,"大收益交易",IF(I126&lt;0,"亏损","普通盈利")))</x:f>
        <x:v>大收益交易</x:v>
      </x:c>
      <x:c r="M126" s="120" t="str">
        <x:v>EMA52-300 level</x:v>
      </x:c>
      <x:c r="N126" s="120" t="str">
        <x:v>structural</x:v>
      </x:c>
    </x:row>
    <x:row r="127" ht="23" customHeight="1">
      <x:c r="A127" s="120" t="str">
        <x:v>结构线段25</x:v>
      </x:c>
      <x:c r="B127" s="120" t="str">
        <x:v>多</x:v>
      </x:c>
      <x:c r="C127" s="124" t="n">
        <x:v>45433</x:v>
      </x:c>
      <x:c r="D127" s="124" t="n">
        <x:v>45458</x:v>
      </x:c>
      <x:c r="E127" s="125" t="n">
        <x:v>71446.62</x:v>
      </x:c>
      <x:c r="F127" s="125" t="n">
        <x:v>66043.99</x:v>
      </x:c>
      <x:c r="G127" s="120" t="n">
        <x:v>25</x:v>
      </x:c>
      <x:c r="H127" s="125" t="n">
        <x:v>-775.4209520338388</x:v>
      </x:c>
      <x:c r="I127" s="126" t="n">
        <x:f>H127/'Data &amp; Targets'!$C$34</x:f>
        <x:v>-0.07754209520338388</x:v>
      </x:c>
      <x:c r="J127" s="126" t="n">
        <x:v>0.007703653440848779</x:v>
      </x:c>
      <x:c r="K127" s="120" t="str">
        <x:v>已平仓</x:v>
      </x:c>
      <x:c r="L127" s="120" t="str">
        <x:f>IF(K127="未平仓","浮盈未实现",IF(I127&gt;='Data &amp; Targets'!$C$31,"大收益交易",IF(I127&lt;0,"亏损","普通盈利")))</x:f>
        <x:v>亏损</x:v>
      </x:c>
      <x:c r="M127" s="120" t="str">
        <x:v>EMA52-300 level</x:v>
      </x:c>
      <x:c r="N127" s="120" t="str">
        <x:v>structural</x:v>
      </x:c>
    </x:row>
    <x:row r="128" ht="23" customHeight="1">
      <x:c r="A128" s="120" t="str">
        <x:v>结构线段25</x:v>
      </x:c>
      <x:c r="B128" s="120" t="str">
        <x:v>多</x:v>
      </x:c>
      <x:c r="C128" s="124" t="n">
        <x:v>45499</x:v>
      </x:c>
      <x:c r="D128" s="124" t="n">
        <x:v>45507</x:v>
      </x:c>
      <x:c r="E128" s="125" t="n">
        <x:v>65799.95</x:v>
      </x:c>
      <x:c r="F128" s="125" t="n">
        <x:v>61498.34</x:v>
      </x:c>
      <x:c r="G128" s="120" t="n">
        <x:v>8</x:v>
      </x:c>
      <x:c r="H128" s="125" t="n">
        <x:v>-673.0868777255911</x:v>
      </x:c>
      <x:c r="I128" s="126" t="n">
        <x:f>H128/'Data &amp; Targets'!$C$34</x:f>
        <x:v>-0.0673086877725591</x:v>
      </x:c>
      <x:c r="J128" s="126" t="n">
        <x:v>0.06504625003514453</x:v>
      </x:c>
      <x:c r="K128" s="120" t="str">
        <x:v>已平仓</x:v>
      </x:c>
      <x:c r="L128" s="120" t="str">
        <x:f>IF(K128="未平仓","浮盈未实现",IF(I128&gt;='Data &amp; Targets'!$C$31,"大收益交易",IF(I128&lt;0,"亏损","普通盈利")))</x:f>
        <x:v>亏损</x:v>
      </x:c>
      <x:c r="M128" s="120" t="str">
        <x:v>EMA52-300 level</x:v>
      </x:c>
      <x:c r="N128" s="120" t="str">
        <x:v>structural</x:v>
      </x:c>
    </x:row>
    <x:row r="129" ht="23" customHeight="1">
      <x:c r="A129" s="120" t="str">
        <x:v>结构线段25</x:v>
      </x:c>
      <x:c r="B129" s="120" t="str">
        <x:v>多</x:v>
      </x:c>
      <x:c r="C129" s="124" t="n">
        <x:v>45559</x:v>
      </x:c>
      <x:c r="D129" s="124" t="n">
        <x:v>45567</x:v>
      </x:c>
      <x:c r="E129" s="125" t="n">
        <x:v>63339.99</x:v>
      </x:c>
      <x:c r="F129" s="125" t="n">
        <x:v>60804.92</x:v>
      </x:c>
      <x:c r="G129" s="120" t="n">
        <x:v>8</x:v>
      </x:c>
      <x:c r="H129" s="125" t="n">
        <x:v>-419.8319118774726</x:v>
      </x:c>
      <x:c r="I129" s="126" t="n">
        <x:f>H129/'Data &amp; Targets'!$C$34</x:f>
        <x:v>-0.04198319118774726</x:v>
      </x:c>
      <x:c r="J129" s="126" t="n">
        <x:v>0.04985807544333376</x:v>
      </x:c>
      <x:c r="K129" s="120" t="str">
        <x:v>已平仓</x:v>
      </x:c>
      <x:c r="L129" s="120" t="str">
        <x:f>IF(K129="未平仓","浮盈未实现",IF(I129&gt;='Data &amp; Targets'!$C$31,"大收益交易",IF(I129&lt;0,"亏损","普通盈利")))</x:f>
        <x:v>亏损</x:v>
      </x:c>
      <x:c r="M129" s="120" t="str">
        <x:v>EMA52-300 level</x:v>
      </x:c>
      <x:c r="N129" s="120" t="str">
        <x:v>structural</x:v>
      </x:c>
    </x:row>
    <x:row r="130" ht="23" customHeight="1">
      <x:c r="A130" s="120" t="str">
        <x:v>结构线段25</x:v>
      </x:c>
      <x:c r="B130" s="120" t="str">
        <x:v>多</x:v>
      </x:c>
      <x:c r="C130" s="124" t="n">
        <x:v>45570</x:v>
      </x:c>
      <x:c r="D130" s="124" t="n">
        <x:v>45575</x:v>
      </x:c>
      <x:c r="E130" s="125" t="n">
        <x:v>62086</x:v>
      </x:c>
      <x:c r="F130" s="125" t="n">
        <x:v>60636.01</x:v>
      </x:c>
      <x:c r="G130" s="120" t="n">
        <x:v>5</x:v>
      </x:c>
      <x:c r="H130" s="125" t="n">
        <x:v>-253.3118593563763</x:v>
      </x:c>
      <x:c r="I130" s="126" t="n">
        <x:f>H130/'Data &amp; Targets'!$C$34</x:f>
        <x:v>-0.02533118593563763</x:v>
      </x:c>
      <x:c r="J130" s="126" t="n">
        <x:v>0.0385302644718617</x:v>
      </x:c>
      <x:c r="K130" s="120" t="str">
        <x:v>已平仓</x:v>
      </x:c>
      <x:c r="L130" s="120" t="str">
        <x:f>IF(K130="未平仓","浮盈未实现",IF(I130&gt;='Data &amp; Targets'!$C$31,"大收益交易",IF(I130&lt;0,"亏损","普通盈利")))</x:f>
        <x:v>亏损</x:v>
      </x:c>
      <x:c r="M130" s="120" t="str">
        <x:v>EMA52-300 level</x:v>
      </x:c>
      <x:c r="N130" s="120" t="str">
        <x:v>structural</x:v>
      </x:c>
    </x:row>
    <x:row r="131" ht="23" customHeight="1">
      <x:c r="A131" s="120" t="str">
        <x:v>结构线段25</x:v>
      </x:c>
      <x:c r="B131" s="120" t="str">
        <x:v>多</x:v>
      </x:c>
      <x:c r="C131" s="124" t="n">
        <x:v>45577</x:v>
      </x:c>
      <x:c r="D131" s="124" t="n">
        <x:v>45667</x:v>
      </x:c>
      <x:c r="E131" s="125" t="n">
        <x:v>62539.99</x:v>
      </x:c>
      <x:c r="F131" s="125" t="n">
        <x:v>92552.49</x:v>
      </x:c>
      <x:c r="G131" s="120" t="n">
        <x:v>90</x:v>
      </x:c>
      <x:c r="H131" s="125" t="n">
        <x:v>4774.130523525829</x:v>
      </x:c>
      <x:c r="I131" s="126" t="n">
        <x:f>H131/'Data &amp; Targets'!$C$34</x:f>
        <x:v>0.47741305235258286</x:v>
      </x:c>
      <x:c r="J131" s="126" t="n">
        <x:v>0.7325394519570598</x:v>
      </x:c>
      <x:c r="K131" s="120" t="str">
        <x:v>已平仓</x:v>
      </x:c>
      <x:c r="L131" s="120" t="str">
        <x:f>IF(K131="未平仓","浮盈未实现",IF(I131&gt;='Data &amp; Targets'!$C$31,"大收益交易",IF(I131&lt;0,"亏损","普通盈利")))</x:f>
        <x:v>大收益交易</x:v>
      </x:c>
      <x:c r="M131" s="120" t="str">
        <x:v>EMA52-300 level</x:v>
      </x:c>
      <x:c r="N131" s="120" t="str">
        <x:v>structural</x:v>
      </x:c>
    </x:row>
    <x:row r="132" ht="23" customHeight="1">
      <x:c r="A132" s="120" t="str">
        <x:v>结构线段25</x:v>
      </x:c>
      <x:c r="B132" s="120" t="str">
        <x:v>多</x:v>
      </x:c>
      <x:c r="C132" s="124" t="n">
        <x:v>45675</x:v>
      </x:c>
      <x:c r="D132" s="124" t="n">
        <x:v>45691</x:v>
      </x:c>
      <x:c r="E132" s="125" t="n">
        <x:v>104077.47</x:v>
      </x:c>
      <x:c r="F132" s="125" t="n">
        <x:v>97700.59</x:v>
      </x:c>
      <x:c r="G132" s="120" t="n">
        <x:v>16</x:v>
      </x:c>
      <x:c r="H132" s="125" t="n">
        <x:v>-632.092426920063</x:v>
      </x:c>
      <x:c r="I132" s="126" t="n">
        <x:f>H132/'Data &amp; Targets'!$C$34</x:f>
        <x:v>-0.0632092426920063</x:v>
      </x:c>
      <x:c r="J132" s="126" t="n">
        <x:v>0.05294642538870331</x:v>
      </x:c>
      <x:c r="K132" s="120" t="str">
        <x:v>已平仓</x:v>
      </x:c>
      <x:c r="L132" s="120" t="str">
        <x:f>IF(K132="未平仓","浮盈未实现",IF(I132&gt;='Data &amp; Targets'!$C$31,"大收益交易",IF(I132&lt;0,"亏损","普通盈利")))</x:f>
        <x:v>亏损</x:v>
      </x:c>
      <x:c r="M132" s="120" t="str">
        <x:v>EMA52-300 level</x:v>
      </x:c>
      <x:c r="N132" s="120" t="str">
        <x:v>structural</x:v>
      </x:c>
    </x:row>
    <x:row r="133" ht="23" customHeight="1">
      <x:c r="A133" s="120" t="str">
        <x:v>结构线段25</x:v>
      </x:c>
      <x:c r="B133" s="120" t="str">
        <x:v>多</x:v>
      </x:c>
      <x:c r="C133" s="124" t="n">
        <x:v>45692</x:v>
      </x:c>
      <x:c r="D133" s="124" t="n">
        <x:v>45693</x:v>
      </x:c>
      <x:c r="E133" s="125" t="n">
        <x:v>101328.51</x:v>
      </x:c>
      <x:c r="F133" s="125" t="n">
        <x:v>97763.14</x:v>
      </x:c>
      <x:c r="G133" s="120" t="n">
        <x:v>1</x:v>
      </x:c>
      <x:c r="H133" s="125" t="n">
        <x:v>-371.5106094030195</x:v>
      </x:c>
      <x:c r="I133" s="126" t="n">
        <x:f>H133/'Data &amp; Targets'!$C$34</x:f>
        <x:v>-0.03715106094030195</x:v>
      </x:c>
      <x:c r="J133" s="126" t="n">
        <x:v>0.0039850581045748346</x:v>
      </x:c>
      <x:c r="K133" s="120" t="str">
        <x:v>已平仓</x:v>
      </x:c>
      <x:c r="L133" s="120" t="str">
        <x:f>IF(K133="未平仓","浮盈未实现",IF(I133&gt;='Data &amp; Targets'!$C$31,"大收益交易",IF(I133&lt;0,"亏损","普通盈利")))</x:f>
        <x:v>亏损</x:v>
      </x:c>
      <x:c r="M133" s="120" t="str">
        <x:v>EMA52-300 level</x:v>
      </x:c>
      <x:c r="N133" s="120" t="str">
        <x:v>structural</x:v>
      </x:c>
    </x:row>
    <x:row r="134" ht="23" customHeight="1">
      <x:c r="A134" s="120" t="str">
        <x:v>结构线段25</x:v>
      </x:c>
      <x:c r="B134" s="120" t="str">
        <x:v>多</x:v>
      </x:c>
      <x:c r="C134" s="124" t="n">
        <x:v>45773</x:v>
      </x:c>
      <x:c r="D134" s="124" t="n">
        <x:v>45830</x:v>
      </x:c>
      <x:c r="E134" s="125" t="n">
        <x:v>94638.68</x:v>
      </x:c>
      <x:c r="F134" s="125" t="n">
        <x:v>102120.02</x:v>
      </x:c>
      <x:c r="G134" s="120" t="n">
        <x:v>57</x:v>
      </x:c>
      <x:c r="H134" s="125" t="n">
        <x:v>769.7255815486873</x:v>
      </x:c>
      <x:c r="I134" s="126" t="n">
        <x:f>H134/'Data &amp; Targets'!$C$34</x:f>
        <x:v>0.07697255815486873</x:v>
      </x:c>
      <x:c r="J134" s="126" t="n">
        <x:v>0.18323712883569399</x:v>
      </x:c>
      <x:c r="K134" s="120" t="str">
        <x:v>已平仓</x:v>
      </x:c>
      <x:c r="L134" s="120" t="str">
        <x:f>IF(K134="未平仓","浮盈未实现",IF(I134&gt;='Data &amp; Targets'!$C$31,"大收益交易",IF(I134&lt;0,"亏损","普通盈利")))</x:f>
        <x:v>普通盈利</x:v>
      </x:c>
      <x:c r="M134" s="120" t="str">
        <x:v>EMA52-300 level</x:v>
      </x:c>
      <x:c r="N134" s="120" t="str">
        <x:v>structural</x:v>
      </x:c>
    </x:row>
    <x:row r="135" ht="23" customHeight="1">
      <x:c r="A135" s="120" t="str">
        <x:v>结构线段25</x:v>
      </x:c>
      <x:c r="B135" s="120" t="str">
        <x:v>多</x:v>
      </x:c>
      <x:c r="C135" s="124" t="n">
        <x:v>45832</x:v>
      </x:c>
      <x:c r="D135" s="124" t="n">
        <x:v>45889</x:v>
      </x:c>
      <x:c r="E135" s="125" t="n">
        <x:v>105333.94</x:v>
      </x:c>
      <x:c r="F135" s="125" t="n">
        <x:v>112872.95</x:v>
      </x:c>
      <x:c r="G135" s="120" t="n">
        <x:v>57</x:v>
      </x:c>
      <x:c r="H135" s="125" t="n">
        <x:v>695.0089505813601</x:v>
      </x:c>
      <x:c r="I135" s="126" t="n">
        <x:f>H135/'Data &amp; Targets'!$C$34</x:f>
        <x:v>0.069500895058136</x:v>
      </x:c>
      <x:c r="J135" s="126" t="n">
        <x:v>0.18170838383146015</x:v>
      </x:c>
      <x:c r="K135" s="120" t="str">
        <x:v>已平仓</x:v>
      </x:c>
      <x:c r="L135" s="120" t="str">
        <x:f>IF(K135="未平仓","浮盈未实现",IF(I135&gt;='Data &amp; Targets'!$C$31,"大收益交易",IF(I135&lt;0,"亏损","普通盈利")))</x:f>
        <x:v>普通盈利</x:v>
      </x:c>
      <x:c r="M135" s="120" t="str">
        <x:v>EMA52-300 level</x:v>
      </x:c>
      <x:c r="N135" s="120" t="str">
        <x:v>structural</x:v>
      </x:c>
    </x:row>
    <x:row r="136" ht="23" customHeight="1">
      <x:c r="A136" s="120" t="str">
        <x:v>结构线段25</x:v>
      </x:c>
      <x:c r="B136" s="120" t="str">
        <x:v>多</x:v>
      </x:c>
      <x:c r="C136" s="124" t="n">
        <x:v>45892</x:v>
      </x:c>
      <x:c r="D136" s="124" t="n">
        <x:v>45894</x:v>
      </x:c>
      <x:c r="E136" s="125" t="n">
        <x:v>116936</x:v>
      </x:c>
      <x:c r="F136" s="125" t="n">
        <x:v>113493.59</x:v>
      </x:c>
      <x:c r="G136" s="120" t="n">
        <x:v>2</x:v>
      </x:c>
      <x:c r="H136" s="125" t="n">
        <x:v>-314.08972343846233</x:v>
      </x:c>
      <x:c r="I136" s="126" t="n">
        <x:f>H136/'Data &amp; Targets'!$C$34</x:f>
        <x:v>-0.03140897234384623</x:v>
      </x:c>
      <x:c r="J136" s="126" t="n">
        <x:v>0.000803858520900258</x:v>
      </x:c>
      <x:c r="K136" s="120" t="str">
        <x:v>已平仓</x:v>
      </x:c>
      <x:c r="L136" s="120" t="str">
        <x:f>IF(K136="未平仓","浮盈未实现",IF(I136&gt;='Data &amp; Targets'!$C$31,"大收益交易",IF(I136&lt;0,"亏损","普通盈利")))</x:f>
        <x:v>亏损</x:v>
      </x:c>
      <x:c r="M136" s="120" t="str">
        <x:v>EMA52-300 level</x:v>
      </x:c>
      <x:c r="N136" s="120" t="str">
        <x:v>structural</x:v>
      </x:c>
    </x:row>
    <x:row r="137" ht="23" customHeight="1">
      <x:c r="A137" s="120" t="str">
        <x:v>结构线段25</x:v>
      </x:c>
      <x:c r="B137" s="120" t="str">
        <x:v>多</x:v>
      </x:c>
      <x:c r="C137" s="124" t="n">
        <x:v>45918</x:v>
      </x:c>
      <x:c r="D137" s="124" t="n">
        <x:v>45923</x:v>
      </x:c>
      <x:c r="E137" s="125" t="n">
        <x:v>116447.6</x:v>
      </x:c>
      <x:c r="F137" s="125" t="n">
        <x:v>112650.99</x:v>
      </x:c>
      <x:c r="G137" s="120" t="n">
        <x:v>5</x:v>
      </x:c>
      <x:c r="H137" s="125" t="n">
        <x:v>-345.709880667356</x:v>
      </x:c>
      <x:c r="I137" s="126" t="n">
        <x:f>H137/'Data &amp; Targets'!$C$34</x:f>
        <x:v>-0.0345709880667356</x:v>
      </x:c>
      <x:c r="J137" s="126" t="n">
        <x:v>0.01247256276642883</x:v>
      </x:c>
      <x:c r="K137" s="120" t="str">
        <x:v>已平仓</x:v>
      </x:c>
      <x:c r="L137" s="120" t="str">
        <x:f>IF(K137="未平仓","浮盈未实现",IF(I137&gt;='Data &amp; Targets'!$C$31,"大收益交易",IF(I137&lt;0,"亏损","普通盈利")))</x:f>
        <x:v>亏损</x:v>
      </x:c>
      <x:c r="M137" s="120" t="str">
        <x:v>EMA52-300 level</x:v>
      </x:c>
      <x:c r="N137" s="120" t="str">
        <x:v>structural</x:v>
      </x:c>
    </x:row>
    <x:row r="138" ht="23" customHeight="1">
      <x:c r="A138" s="120" t="str">
        <x:v>结构线段25</x:v>
      </x:c>
      <x:c r="B138" s="120" t="str">
        <x:v>多</x:v>
      </x:c>
      <x:c r="C138" s="124" t="n">
        <x:v>45934</x:v>
      </x:c>
      <x:c r="D138" s="124" t="n">
        <x:v>45941</x:v>
      </x:c>
      <x:c r="E138" s="125" t="n">
        <x:v>122232.21</x:v>
      </x:c>
      <x:c r="F138" s="125" t="n">
        <x:v>112774.49</x:v>
      </x:c>
      <x:c r="G138" s="120" t="n">
        <x:v>7</x:v>
      </x:c>
      <x:c r="H138" s="125" t="n">
        <x:v>-792.9764748587954</x:v>
      </x:c>
      <x:c r="I138" s="126" t="n">
        <x:f>H138/'Data &amp; Targets'!$C$34</x:f>
        <x:v>-0.07929764748587954</x:v>
      </x:c>
      <x:c r="J138" s="126" t="n">
        <x:v>0.0324580566775321</x:v>
      </x:c>
      <x:c r="K138" s="120" t="str">
        <x:v>已平仓</x:v>
      </x:c>
      <x:c r="L138" s="120" t="str">
        <x:f>IF(K138="未平仓","浮盈未实现",IF(I138&gt;='Data &amp; Targets'!$C$31,"大收益交易",IF(I138&lt;0,"亏损","普通盈利")))</x:f>
        <x:v>亏损</x:v>
      </x:c>
      <x:c r="M138" s="120" t="str">
        <x:v>EMA52-300 level</x:v>
      </x:c>
      <x:c r="N138" s="120" t="str">
        <x:v>structural</x:v>
      </x:c>
    </x:row>
    <x:row r="139" ht="23" customHeight="1">
      <x:c r="A139" s="120" t="str">
        <x:v>结构线段25</x:v>
      </x:c>
      <x:c r="B139" s="120" t="str">
        <x:v>多</x:v>
      </x:c>
      <x:c r="C139" s="124" t="n">
        <x:v>46130</x:v>
      </x:c>
      <x:c r="D139" s="124" t="n">
        <x:v>46165</x:v>
      </x:c>
      <x:c r="E139" s="125" t="n">
        <x:v>77072.01</x:v>
      </x:c>
      <x:c r="F139" s="125" t="n">
        <x:v>75539.5</x:v>
      </x:c>
      <x:c r="G139" s="120" t="n">
        <x:v>35</x:v>
      </x:c>
      <x:c r="H139" s="125" t="n">
        <x:v>-218.64247604285848</x:v>
      </x:c>
      <x:c r="I139" s="126" t="n">
        <x:f>H139/'Data &amp; Targets'!$C$34</x:f>
        <x:v>-0.021864247604285847</x:v>
      </x:c>
      <x:c r="J139" s="126" t="n">
        <x:v>0.07496872081057715</x:v>
      </x:c>
      <x:c r="K139" s="120" t="str">
        <x:v>已平仓</x:v>
      </x:c>
      <x:c r="L139" s="120" t="str">
        <x:f>IF(K139="未平仓","浮盈未实现",IF(I139&gt;='Data &amp; Targets'!$C$31,"大收益交易",IF(I139&lt;0,"亏损","普通盈利")))</x:f>
        <x:v>亏损</x:v>
      </x:c>
      <x:c r="M139" s="120" t="str">
        <x:v>EMA52-300 level</x:v>
      </x:c>
      <x:c r="N139" s="120" t="str">
        <x:v>structural</x:v>
      </x:c>
    </x:row>
    <x:row r="140" ht="23" customHeight="1">
      <x:c r="A140" s="120" t="str">
        <x:v>结构线段25</x:v>
      </x:c>
      <x:c r="B140" s="120" t="str">
        <x:v>多</x:v>
      </x:c>
      <x:c r="C140" s="124" t="n">
        <x:v>46255</x:v>
      </x:c>
      <x:c r="D140" s="124"/>
      <x:c r="E140" s="125" t="n">
        <x:v>73027.02</x:v>
      </x:c>
      <x:c r="F140" s="125" t="n">
        <x:v>80341.83</x:v>
      </x:c>
      <x:c r="G140" s="120" t="n">
        <x:v>16</x:v>
      </x:c>
      <x:c r="H140" s="125" t="n">
        <x:v>991.6580164437761</x:v>
      </x:c>
      <x:c r="I140" s="126" t="n">
        <x:f>H140/'Data &amp; Targets'!$C$34</x:f>
        <x:v>0.0991658016443776</x:v>
      </x:c>
      <x:c r="J140" s="126"/>
      <x:c r="K140" s="120" t="str">
        <x:v>未平仓</x:v>
      </x:c>
      <x:c r="L140" s="120" t="str">
        <x:f>IF(K140="未平仓","浮盈未实现",IF(I140&gt;='Data &amp; Targets'!$C$31,"大收益交易",IF(I140&lt;0,"亏损","普通盈利")))</x:f>
        <x:v>浮盈未实现</x:v>
      </x:c>
      <x:c r="M140" s="120" t="str">
        <x:v>期末按收盘估值；仅扣已付开仓费</x:v>
      </x:c>
      <x:c r="N140" s="120" t="str">
        <x:v>structural</x:v>
      </x:c>
    </x:row>
    <x:row r="141" ht="23" customHeight="1">
      <x:c r="A141" s="120" t="str">
        <x:v>结构线段3ATR</x:v>
      </x:c>
      <x:c r="B141" s="120" t="str">
        <x:v>多</x:v>
      </x:c>
      <x:c r="C141" s="124" t="n">
        <x:v>45293</x:v>
      </x:c>
      <x:c r="D141" s="124" t="n">
        <x:v>45306</x:v>
      </x:c>
      <x:c r="E141" s="125" t="n">
        <x:v>44179.55</x:v>
      </x:c>
      <x:c r="F141" s="125" t="n">
        <x:v>41732.35</x:v>
      </x:c>
      <x:c r="G141" s="120" t="n">
        <x:v>13</x:v>
      </x:c>
      <x:c r="H141" s="125" t="n">
        <x:v>-573.3675195876834</x:v>
      </x:c>
      <x:c r="I141" s="126" t="n">
        <x:f>H141/'Data &amp; Targets'!$C$34</x:f>
        <x:v>-0.05733675195876834</x:v>
      </x:c>
      <x:c r="J141" s="126" t="n">
        <x:v>0.10841961948458056</x:v>
      </x:c>
      <x:c r="K141" s="120" t="str">
        <x:v>已平仓</x:v>
      </x:c>
      <x:c r="L141" s="120" t="str">
        <x:f>IF(K141="未平仓","浮盈未实现",IF(I141&gt;='Data &amp; Targets'!$C$31,"大收益交易",IF(I141&lt;0,"亏损","普通盈利")))</x:f>
        <x:v>亏损</x:v>
      </x:c>
      <x:c r="M141" s="120" t="str">
        <x:v>ATR trail close</x:v>
      </x:c>
      <x:c r="N141" s="120" t="str">
        <x:v>structural_trail</x:v>
      </x:c>
    </x:row>
    <x:row r="142" ht="23" customHeight="1">
      <x:c r="A142" s="120" t="str">
        <x:v>结构线段3ATR</x:v>
      </x:c>
      <x:c r="B142" s="120" t="str">
        <x:v>多</x:v>
      </x:c>
      <x:c r="C142" s="124" t="n">
        <x:v>45331</x:v>
      </x:c>
      <x:c r="D142" s="124" t="n">
        <x:v>45371</x:v>
      </x:c>
      <x:c r="E142" s="125" t="n">
        <x:v>45288.66</x:v>
      </x:c>
      <x:c r="F142" s="125" t="n">
        <x:v>61937.41</x:v>
      </x:c>
      <x:c r="G142" s="120" t="n">
        <x:v>40</x:v>
      </x:c>
      <x:c r="H142" s="125" t="n">
        <x:v>3652.464862064808</x:v>
      </x:c>
      <x:c r="I142" s="126" t="n">
        <x:f>H142/'Data &amp; Targets'!$C$34</x:f>
        <x:v>0.3652464862064808</x:v>
      </x:c>
      <x:c r="J142" s="126" t="n">
        <x:v>0.6290391457817475</x:v>
      </x:c>
      <x:c r="K142" s="120" t="str">
        <x:v>已平仓</x:v>
      </x:c>
      <x:c r="L142" s="120" t="str">
        <x:f>IF(K142="未平仓","浮盈未实现",IF(I142&gt;='Data &amp; Targets'!$C$31,"大收益交易",IF(I142&lt;0,"亏损","普通盈利")))</x:f>
        <x:v>大收益交易</x:v>
      </x:c>
      <x:c r="M142" s="120" t="str">
        <x:v>ATR trail close</x:v>
      </x:c>
      <x:c r="N142" s="120" t="str">
        <x:v>structural_trail</x:v>
      </x:c>
    </x:row>
    <x:row r="143" ht="23" customHeight="1">
      <x:c r="A143" s="120" t="str">
        <x:v>结构线段3ATR</x:v>
      </x:c>
      <x:c r="B143" s="120" t="str">
        <x:v>多</x:v>
      </x:c>
      <x:c r="C143" s="124" t="n">
        <x:v>45372</x:v>
      </x:c>
      <x:c r="D143" s="124" t="n">
        <x:v>45396</x:v>
      </x:c>
      <x:c r="E143" s="125" t="n">
        <x:v>67840.51</x:v>
      </x:c>
      <x:c r="F143" s="125" t="n">
        <x:v>63924.52</x:v>
      </x:c>
      <x:c r="G143" s="120" t="n">
        <x:v>24</x:v>
      </x:c>
      <x:c r="H143" s="125" t="n">
        <x:v>-596.6575177574576</x:v>
      </x:c>
      <x:c r="I143" s="126" t="n">
        <x:f>H143/'Data &amp; Targets'!$C$34</x:f>
        <x:v>-0.05966575177574576</x:v>
      </x:c>
      <x:c r="J143" s="126" t="n">
        <x:v>0.07307551196180584</x:v>
      </x:c>
      <x:c r="K143" s="120" t="str">
        <x:v>已平仓</x:v>
      </x:c>
      <x:c r="L143" s="120" t="str">
        <x:f>IF(K143="未平仓","浮盈未实现",IF(I143&gt;='Data &amp; Targets'!$C$31,"大收益交易",IF(I143&lt;0,"亏损","普通盈利")))</x:f>
        <x:v>亏损</x:v>
      </x:c>
      <x:c r="M143" s="120" t="str">
        <x:v>EMA52-300 level</x:v>
      </x:c>
      <x:c r="N143" s="120" t="str">
        <x:v>structural_trail</x:v>
      </x:c>
    </x:row>
    <x:row r="144" ht="23" customHeight="1">
      <x:c r="A144" s="120" t="str">
        <x:v>结构线段3ATR</x:v>
      </x:c>
      <x:c r="B144" s="120" t="str">
        <x:v>多</x:v>
      </x:c>
      <x:c r="C144" s="124" t="n">
        <x:v>45433</x:v>
      </x:c>
      <x:c r="D144" s="124" t="n">
        <x:v>45458</x:v>
      </x:c>
      <x:c r="E144" s="125" t="n">
        <x:v>71446.62</x:v>
      </x:c>
      <x:c r="F144" s="125" t="n">
        <x:v>66043.99</x:v>
      </x:c>
      <x:c r="G144" s="120" t="n">
        <x:v>25</x:v>
      </x:c>
      <x:c r="H144" s="125" t="n">
        <x:v>-775.4209520338388</x:v>
      </x:c>
      <x:c r="I144" s="126" t="n">
        <x:f>H144/'Data &amp; Targets'!$C$34</x:f>
        <x:v>-0.07754209520338388</x:v>
      </x:c>
      <x:c r="J144" s="126" t="n">
        <x:v>0.007703653440848779</x:v>
      </x:c>
      <x:c r="K144" s="120" t="str">
        <x:v>已平仓</x:v>
      </x:c>
      <x:c r="L144" s="120" t="str">
        <x:f>IF(K144="未平仓","浮盈未实现",IF(I144&gt;='Data &amp; Targets'!$C$31,"大收益交易",IF(I144&lt;0,"亏损","普通盈利")))</x:f>
        <x:v>亏损</x:v>
      </x:c>
      <x:c r="M144" s="120" t="str">
        <x:v>ATR trail close</x:v>
      </x:c>
      <x:c r="N144" s="120" t="str">
        <x:v>structural_trail</x:v>
      </x:c>
    </x:row>
    <x:row r="145" ht="23" customHeight="1">
      <x:c r="A145" s="120" t="str">
        <x:v>结构线段3ATR</x:v>
      </x:c>
      <x:c r="B145" s="120" t="str">
        <x:v>多</x:v>
      </x:c>
      <x:c r="C145" s="124" t="n">
        <x:v>45499</x:v>
      </x:c>
      <x:c r="D145" s="124" t="n">
        <x:v>45507</x:v>
      </x:c>
      <x:c r="E145" s="125" t="n">
        <x:v>65799.95</x:v>
      </x:c>
      <x:c r="F145" s="125" t="n">
        <x:v>61498.34</x:v>
      </x:c>
      <x:c r="G145" s="120" t="n">
        <x:v>8</x:v>
      </x:c>
      <x:c r="H145" s="125" t="n">
        <x:v>-673.0868777255911</x:v>
      </x:c>
      <x:c r="I145" s="126" t="n">
        <x:f>H145/'Data &amp; Targets'!$C$34</x:f>
        <x:v>-0.0673086877725591</x:v>
      </x:c>
      <x:c r="J145" s="126" t="n">
        <x:v>0.06504625003514453</x:v>
      </x:c>
      <x:c r="K145" s="120" t="str">
        <x:v>已平仓</x:v>
      </x:c>
      <x:c r="L145" s="120" t="str">
        <x:f>IF(K145="未平仓","浮盈未实现",IF(I145&gt;='Data &amp; Targets'!$C$31,"大收益交易",IF(I145&lt;0,"亏损","普通盈利")))</x:f>
        <x:v>亏损</x:v>
      </x:c>
      <x:c r="M145" s="120" t="str">
        <x:v>ATR trail close</x:v>
      </x:c>
      <x:c r="N145" s="120" t="str">
        <x:v>structural_trail</x:v>
      </x:c>
    </x:row>
    <x:row r="146" ht="23" customHeight="1">
      <x:c r="A146" s="120" t="str">
        <x:v>结构线段3ATR</x:v>
      </x:c>
      <x:c r="B146" s="120" t="str">
        <x:v>多</x:v>
      </x:c>
      <x:c r="C146" s="124" t="n">
        <x:v>45559</x:v>
      </x:c>
      <x:c r="D146" s="124" t="n">
        <x:v>45567</x:v>
      </x:c>
      <x:c r="E146" s="125" t="n">
        <x:v>63339.99</x:v>
      </x:c>
      <x:c r="F146" s="125" t="n">
        <x:v>60804.92</x:v>
      </x:c>
      <x:c r="G146" s="120" t="n">
        <x:v>8</x:v>
      </x:c>
      <x:c r="H146" s="125" t="n">
        <x:v>-419.8319118774726</x:v>
      </x:c>
      <x:c r="I146" s="126" t="n">
        <x:f>H146/'Data &amp; Targets'!$C$34</x:f>
        <x:v>-0.04198319118774726</x:v>
      </x:c>
      <x:c r="J146" s="126" t="n">
        <x:v>0.04985807544333376</x:v>
      </x:c>
      <x:c r="K146" s="120" t="str">
        <x:v>已平仓</x:v>
      </x:c>
      <x:c r="L146" s="120" t="str">
        <x:f>IF(K146="未平仓","浮盈未实现",IF(I146&gt;='Data &amp; Targets'!$C$31,"大收益交易",IF(I146&lt;0,"亏损","普通盈利")))</x:f>
        <x:v>亏损</x:v>
      </x:c>
      <x:c r="M146" s="120" t="str">
        <x:v>EMA52-300 level</x:v>
      </x:c>
      <x:c r="N146" s="120" t="str">
        <x:v>structural_trail</x:v>
      </x:c>
    </x:row>
    <x:row r="147" ht="23" customHeight="1">
      <x:c r="A147" s="120" t="str">
        <x:v>结构线段3ATR</x:v>
      </x:c>
      <x:c r="B147" s="120" t="str">
        <x:v>多</x:v>
      </x:c>
      <x:c r="C147" s="124" t="n">
        <x:v>45570</x:v>
      </x:c>
      <x:c r="D147" s="124" t="n">
        <x:v>45575</x:v>
      </x:c>
      <x:c r="E147" s="125" t="n">
        <x:v>62086</x:v>
      </x:c>
      <x:c r="F147" s="125" t="n">
        <x:v>60636.01</x:v>
      </x:c>
      <x:c r="G147" s="120" t="n">
        <x:v>5</x:v>
      </x:c>
      <x:c r="H147" s="125" t="n">
        <x:v>-253.3118593563763</x:v>
      </x:c>
      <x:c r="I147" s="126" t="n">
        <x:f>H147/'Data &amp; Targets'!$C$34</x:f>
        <x:v>-0.02533118593563763</x:v>
      </x:c>
      <x:c r="J147" s="126" t="n">
        <x:v>0.0385302644718617</x:v>
      </x:c>
      <x:c r="K147" s="120" t="str">
        <x:v>已平仓</x:v>
      </x:c>
      <x:c r="L147" s="120" t="str">
        <x:f>IF(K147="未平仓","浮盈未实现",IF(I147&gt;='Data &amp; Targets'!$C$31,"大收益交易",IF(I147&lt;0,"亏损","普通盈利")))</x:f>
        <x:v>亏损</x:v>
      </x:c>
      <x:c r="M147" s="120" t="str">
        <x:v>EMA52-300 level</x:v>
      </x:c>
      <x:c r="N147" s="120" t="str">
        <x:v>structural_trail</x:v>
      </x:c>
    </x:row>
    <x:row r="148" ht="23" customHeight="1">
      <x:c r="A148" s="120" t="str">
        <x:v>结构线段3ATR</x:v>
      </x:c>
      <x:c r="B148" s="120" t="str">
        <x:v>多</x:v>
      </x:c>
      <x:c r="C148" s="124" t="n">
        <x:v>45577</x:v>
      </x:c>
      <x:c r="D148" s="124" t="n">
        <x:v>45649</x:v>
      </x:c>
      <x:c r="E148" s="125" t="n">
        <x:v>62539.99</x:v>
      </x:c>
      <x:c r="F148" s="125" t="n">
        <x:v>95186.28</x:v>
      </x:c>
      <x:c r="G148" s="120" t="n">
        <x:v>72</x:v>
      </x:c>
      <x:c r="H148" s="125" t="n">
        <x:v>5194.846326326564</x:v>
      </x:c>
      <x:c r="I148" s="126" t="n">
        <x:f>H148/'Data &amp; Targets'!$C$34</x:f>
        <x:v>0.5194846326326564</x:v>
      </x:c>
      <x:c r="J148" s="126" t="n">
        <x:v>0.7325394519570598</x:v>
      </x:c>
      <x:c r="K148" s="120" t="str">
        <x:v>已平仓</x:v>
      </x:c>
      <x:c r="L148" s="120" t="str">
        <x:f>IF(K148="未平仓","浮盈未实现",IF(I148&gt;='Data &amp; Targets'!$C$31,"大收益交易",IF(I148&lt;0,"亏损","普通盈利")))</x:f>
        <x:v>大收益交易</x:v>
      </x:c>
      <x:c r="M148" s="120" t="str">
        <x:v>ATR trail close</x:v>
      </x:c>
      <x:c r="N148" s="120" t="str">
        <x:v>structural_trail</x:v>
      </x:c>
    </x:row>
    <x:row r="149" ht="23" customHeight="1">
      <x:c r="A149" s="120" t="str">
        <x:v>结构线段3ATR</x:v>
      </x:c>
      <x:c r="B149" s="120" t="str">
        <x:v>多</x:v>
      </x:c>
      <x:c r="C149" s="124" t="n">
        <x:v>45651</x:v>
      </x:c>
      <x:c r="D149" s="124" t="n">
        <x:v>45667</x:v>
      </x:c>
      <x:c r="E149" s="125" t="n">
        <x:v>98663.58</x:v>
      </x:c>
      <x:c r="F149" s="125" t="n">
        <x:v>92552.49</x:v>
      </x:c>
      <x:c r="G149" s="120" t="n">
        <x:v>16</x:v>
      </x:c>
      <x:c r="H149" s="125" t="n">
        <x:v>-638.7672198799189</x:v>
      </x:c>
      <x:c r="I149" s="126" t="n">
        <x:f>H149/'Data &amp; Targets'!$C$34</x:f>
        <x:v>-0.0638767219879919</x:v>
      </x:c>
      <x:c r="J149" s="126" t="n">
        <x:v>0.041158044336116806</x:v>
      </x:c>
      <x:c r="K149" s="120" t="str">
        <x:v>已平仓</x:v>
      </x:c>
      <x:c r="L149" s="120" t="str">
        <x:f>IF(K149="未平仓","浮盈未实现",IF(I149&gt;='Data &amp; Targets'!$C$31,"大收益交易",IF(I149&lt;0,"亏损","普通盈利")))</x:f>
        <x:v>亏损</x:v>
      </x:c>
      <x:c r="M149" s="120" t="str">
        <x:v>EMA52-300 level</x:v>
      </x:c>
      <x:c r="N149" s="120" t="str">
        <x:v>structural_trail</x:v>
      </x:c>
    </x:row>
    <x:row r="150" ht="23" customHeight="1">
      <x:c r="A150" s="120" t="str">
        <x:v>结构线段3ATR</x:v>
      </x:c>
      <x:c r="B150" s="120" t="str">
        <x:v>多</x:v>
      </x:c>
      <x:c r="C150" s="124" t="n">
        <x:v>45675</x:v>
      </x:c>
      <x:c r="D150" s="124" t="n">
        <x:v>45691</x:v>
      </x:c>
      <x:c r="E150" s="125" t="n">
        <x:v>104077.47</x:v>
      </x:c>
      <x:c r="F150" s="125" t="n">
        <x:v>97700.59</x:v>
      </x:c>
      <x:c r="G150" s="120" t="n">
        <x:v>16</x:v>
      </x:c>
      <x:c r="H150" s="125" t="n">
        <x:v>-632.092426920063</x:v>
      </x:c>
      <x:c r="I150" s="126" t="n">
        <x:f>H150/'Data &amp; Targets'!$C$34</x:f>
        <x:v>-0.0632092426920063</x:v>
      </x:c>
      <x:c r="J150" s="126" t="n">
        <x:v>0.05294642538870331</x:v>
      </x:c>
      <x:c r="K150" s="120" t="str">
        <x:v>已平仓</x:v>
      </x:c>
      <x:c r="L150" s="120" t="str">
        <x:f>IF(K150="未平仓","浮盈未实现",IF(I150&gt;='Data &amp; Targets'!$C$31,"大收益交易",IF(I150&lt;0,"亏损","普通盈利")))</x:f>
        <x:v>亏损</x:v>
      </x:c>
      <x:c r="M150" s="120" t="str">
        <x:v>EMA52-300 level</x:v>
      </x:c>
      <x:c r="N150" s="120" t="str">
        <x:v>structural_trail</x:v>
      </x:c>
    </x:row>
    <x:row r="151" ht="23" customHeight="1">
      <x:c r="A151" s="120" t="str">
        <x:v>结构线段3ATR</x:v>
      </x:c>
      <x:c r="B151" s="120" t="str">
        <x:v>多</x:v>
      </x:c>
      <x:c r="C151" s="124" t="n">
        <x:v>45692</x:v>
      </x:c>
      <x:c r="D151" s="124" t="n">
        <x:v>45693</x:v>
      </x:c>
      <x:c r="E151" s="125" t="n">
        <x:v>101328.51</x:v>
      </x:c>
      <x:c r="F151" s="125" t="n">
        <x:v>97763.14</x:v>
      </x:c>
      <x:c r="G151" s="120" t="n">
        <x:v>1</x:v>
      </x:c>
      <x:c r="H151" s="125" t="n">
        <x:v>-371.5106094030195</x:v>
      </x:c>
      <x:c r="I151" s="126" t="n">
        <x:f>H151/'Data &amp; Targets'!$C$34</x:f>
        <x:v>-0.03715106094030195</x:v>
      </x:c>
      <x:c r="J151" s="126" t="n">
        <x:v>0.0039850581045748346</x:v>
      </x:c>
      <x:c r="K151" s="120" t="str">
        <x:v>已平仓</x:v>
      </x:c>
      <x:c r="L151" s="120" t="str">
        <x:f>IF(K151="未平仓","浮盈未实现",IF(I151&gt;='Data &amp; Targets'!$C$31,"大收益交易",IF(I151&lt;0,"亏损","普通盈利")))</x:f>
        <x:v>亏损</x:v>
      </x:c>
      <x:c r="M151" s="120" t="str">
        <x:v>EMA52-300 level</x:v>
      </x:c>
      <x:c r="N151" s="120" t="str">
        <x:v>structural_trail</x:v>
      </x:c>
    </x:row>
    <x:row r="152" ht="23" customHeight="1">
      <x:c r="A152" s="120" t="str">
        <x:v>结构线段3ATR</x:v>
      </x:c>
      <x:c r="B152" s="120" t="str">
        <x:v>多</x:v>
      </x:c>
      <x:c r="C152" s="124" t="n">
        <x:v>45773</x:v>
      </x:c>
      <x:c r="D152" s="124" t="n">
        <x:v>45814</x:v>
      </x:c>
      <x:c r="E152" s="125" t="n">
        <x:v>94638.68</x:v>
      </x:c>
      <x:c r="F152" s="125" t="n">
        <x:v>101508.69</x:v>
      </x:c>
      <x:c r="G152" s="120" t="n">
        <x:v>41</x:v>
      </x:c>
      <x:c r="H152" s="125" t="n">
        <x:v>705.193968259068</x:v>
      </x:c>
      <x:c r="I152" s="126" t="n">
        <x:f>H152/'Data &amp; Targets'!$C$34</x:f>
        <x:v>0.0705193968259068</x:v>
      </x:c>
      <x:c r="J152" s="126" t="n">
        <x:v>0.18323712883569399</x:v>
      </x:c>
      <x:c r="K152" s="120" t="str">
        <x:v>已平仓</x:v>
      </x:c>
      <x:c r="L152" s="120" t="str">
        <x:f>IF(K152="未平仓","浮盈未实现",IF(I152&gt;='Data &amp; Targets'!$C$31,"大收益交易",IF(I152&lt;0,"亏损","普通盈利")))</x:f>
        <x:v>普通盈利</x:v>
      </x:c>
      <x:c r="M152" s="120" t="str">
        <x:v>ATR trail close</x:v>
      </x:c>
      <x:c r="N152" s="120" t="str">
        <x:v>structural_trail</x:v>
      </x:c>
    </x:row>
    <x:row r="153" ht="23" customHeight="1">
      <x:c r="A153" s="120" t="str">
        <x:v>结构线段3ATR</x:v>
      </x:c>
      <x:c r="B153" s="120" t="str">
        <x:v>多</x:v>
      </x:c>
      <x:c r="C153" s="124" t="n">
        <x:v>45816</x:v>
      </x:c>
      <x:c r="D153" s="124" t="n">
        <x:v>45830</x:v>
      </x:c>
      <x:c r="E153" s="125" t="n">
        <x:v>105552.15</x:v>
      </x:c>
      <x:c r="F153" s="125" t="n">
        <x:v>102120.02</x:v>
      </x:c>
      <x:c r="G153" s="120" t="n">
        <x:v>14</x:v>
      </x:c>
      <x:c r="H153" s="125" t="n">
        <x:v>-344.83448892324697</x:v>
      </x:c>
      <x:c r="I153" s="126" t="n">
        <x:f>H153/'Data &amp; Targets'!$C$34</x:f>
        <x:v>-0.03448344889232469</x:v>
      </x:c>
      <x:c r="J153" s="126" t="n">
        <x:v>0.04716171105941469</x:v>
      </x:c>
      <x:c r="K153" s="120" t="str">
        <x:v>已平仓</x:v>
      </x:c>
      <x:c r="L153" s="120" t="str">
        <x:f>IF(K153="未平仓","浮盈未实现",IF(I153&gt;='Data &amp; Targets'!$C$31,"大收益交易",IF(I153&lt;0,"亏损","普通盈利")))</x:f>
        <x:v>亏损</x:v>
      </x:c>
      <x:c r="M153" s="120" t="str">
        <x:v>ATR trail close</x:v>
      </x:c>
      <x:c r="N153" s="120" t="str">
        <x:v>structural_trail</x:v>
      </x:c>
    </x:row>
    <x:row r="154" ht="23" customHeight="1">
      <x:c r="A154" s="120" t="str">
        <x:v>结构线段3ATR</x:v>
      </x:c>
      <x:c r="B154" s="120" t="str">
        <x:v>多</x:v>
      </x:c>
      <x:c r="C154" s="124" t="n">
        <x:v>45832</x:v>
      </x:c>
      <x:c r="D154" s="124" t="n">
        <x:v>45871</x:v>
      </x:c>
      <x:c r="E154" s="125" t="n">
        <x:v>105333.94</x:v>
      </x:c>
      <x:c r="F154" s="125" t="n">
        <x:v>113297.92</x:v>
      </x:c>
      <x:c r="G154" s="120" t="n">
        <x:v>39</x:v>
      </x:c>
      <x:c r="H154" s="125" t="n">
        <x:v>735.3136263582276</x:v>
      </x:c>
      <x:c r="I154" s="126" t="n">
        <x:f>H154/'Data &amp; Targets'!$C$34</x:f>
        <x:v>0.07353136263582276</x:v>
      </x:c>
      <x:c r="J154" s="126" t="n">
        <x:v>0.1697844018746475</x:v>
      </x:c>
      <x:c r="K154" s="120" t="str">
        <x:v>已平仓</x:v>
      </x:c>
      <x:c r="L154" s="120" t="str">
        <x:f>IF(K154="未平仓","浮盈未实现",IF(I154&gt;='Data &amp; Targets'!$C$31,"大收益交易",IF(I154&lt;0,"亏损","普通盈利")))</x:f>
        <x:v>普通盈利</x:v>
      </x:c>
      <x:c r="M154" s="120" t="str">
        <x:v>ATR trail close</x:v>
      </x:c>
      <x:c r="N154" s="120" t="str">
        <x:v>structural_trail</x:v>
      </x:c>
    </x:row>
    <x:row r="155" ht="23" customHeight="1">
      <x:c r="A155" s="120" t="str">
        <x:v>结构线段3ATR</x:v>
      </x:c>
      <x:c r="B155" s="120" t="str">
        <x:v>多</x:v>
      </x:c>
      <x:c r="C155" s="124" t="n">
        <x:v>45877</x:v>
      </x:c>
      <x:c r="D155" s="124" t="n">
        <x:v>45889</x:v>
      </x:c>
      <x:c r="E155" s="125" t="n">
        <x:v>117472.02</x:v>
      </x:c>
      <x:c r="F155" s="125" t="n">
        <x:v>112872.95</x:v>
      </x:c>
      <x:c r="G155" s="120" t="n">
        <x:v>12</x:v>
      </x:c>
      <x:c r="H155" s="125" t="n">
        <x:v>-411.11193712341094</x:v>
      </x:c>
      <x:c r="I155" s="126" t="n">
        <x:f>H155/'Data &amp; Targets'!$C$34</x:f>
        <x:v>-0.04111119371234109</x:v>
      </x:c>
      <x:c r="J155" s="126" t="n">
        <x:v>0.05960551287021376</x:v>
      </x:c>
      <x:c r="K155" s="120" t="str">
        <x:v>已平仓</x:v>
      </x:c>
      <x:c r="L155" s="120" t="str">
        <x:f>IF(K155="未平仓","浮盈未实现",IF(I155&gt;='Data &amp; Targets'!$C$31,"大收益交易",IF(I155&lt;0,"亏损","普通盈利")))</x:f>
        <x:v>亏损</x:v>
      </x:c>
      <x:c r="M155" s="120" t="str">
        <x:v>ATR trail close</x:v>
      </x:c>
      <x:c r="N155" s="120" t="str">
        <x:v>structural_trail</x:v>
      </x:c>
    </x:row>
    <x:row r="156" ht="23" customHeight="1">
      <x:c r="A156" s="120" t="str">
        <x:v>结构线段3ATR</x:v>
      </x:c>
      <x:c r="B156" s="120" t="str">
        <x:v>多</x:v>
      </x:c>
      <x:c r="C156" s="124" t="n">
        <x:v>45892</x:v>
      </x:c>
      <x:c r="D156" s="124" t="n">
        <x:v>45894</x:v>
      </x:c>
      <x:c r="E156" s="125" t="n">
        <x:v>116936</x:v>
      </x:c>
      <x:c r="F156" s="125" t="n">
        <x:v>113493.59</x:v>
      </x:c>
      <x:c r="G156" s="120" t="n">
        <x:v>2</x:v>
      </x:c>
      <x:c r="H156" s="125" t="n">
        <x:v>-314.08972343846233</x:v>
      </x:c>
      <x:c r="I156" s="126" t="n">
        <x:f>H156/'Data &amp; Targets'!$C$34</x:f>
        <x:v>-0.03140897234384623</x:v>
      </x:c>
      <x:c r="J156" s="126" t="n">
        <x:v>0.000803858520900258</x:v>
      </x:c>
      <x:c r="K156" s="120" t="str">
        <x:v>已平仓</x:v>
      </x:c>
      <x:c r="L156" s="120" t="str">
        <x:f>IF(K156="未平仓","浮盈未实现",IF(I156&gt;='Data &amp; Targets'!$C$31,"大收益交易",IF(I156&lt;0,"亏损","普通盈利")))</x:f>
        <x:v>亏损</x:v>
      </x:c>
      <x:c r="M156" s="120" t="str">
        <x:v>EMA52-300 level</x:v>
      </x:c>
      <x:c r="N156" s="120" t="str">
        <x:v>structural_trail</x:v>
      </x:c>
    </x:row>
    <x:row r="157" ht="23" customHeight="1">
      <x:c r="A157" s="120" t="str">
        <x:v>结构线段3ATR</x:v>
      </x:c>
      <x:c r="B157" s="120" t="str">
        <x:v>多</x:v>
      </x:c>
      <x:c r="C157" s="124" t="n">
        <x:v>45918</x:v>
      </x:c>
      <x:c r="D157" s="124" t="n">
        <x:v>45923</x:v>
      </x:c>
      <x:c r="E157" s="125" t="n">
        <x:v>116447.6</x:v>
      </x:c>
      <x:c r="F157" s="125" t="n">
        <x:v>112650.99</x:v>
      </x:c>
      <x:c r="G157" s="120" t="n">
        <x:v>5</x:v>
      </x:c>
      <x:c r="H157" s="125" t="n">
        <x:v>-345.709880667356</x:v>
      </x:c>
      <x:c r="I157" s="126" t="n">
        <x:f>H157/'Data &amp; Targets'!$C$34</x:f>
        <x:v>-0.0345709880667356</x:v>
      </x:c>
      <x:c r="J157" s="126" t="n">
        <x:v>0.01247256276642883</x:v>
      </x:c>
      <x:c r="K157" s="120" t="str">
        <x:v>已平仓</x:v>
      </x:c>
      <x:c r="L157" s="120" t="str">
        <x:f>IF(K157="未平仓","浮盈未实现",IF(I157&gt;='Data &amp; Targets'!$C$31,"大收益交易",IF(I157&lt;0,"亏损","普通盈利")))</x:f>
        <x:v>亏损</x:v>
      </x:c>
      <x:c r="M157" s="120" t="str">
        <x:v>EMA52-300 level</x:v>
      </x:c>
      <x:c r="N157" s="120" t="str">
        <x:v>structural_trail</x:v>
      </x:c>
    </x:row>
    <x:row r="158" ht="23" customHeight="1">
      <x:c r="A158" s="120" t="str">
        <x:v>结构线段3ATR</x:v>
      </x:c>
      <x:c r="B158" s="120" t="str">
        <x:v>多</x:v>
      </x:c>
      <x:c r="C158" s="124" t="n">
        <x:v>45934</x:v>
      </x:c>
      <x:c r="D158" s="124" t="n">
        <x:v>45941</x:v>
      </x:c>
      <x:c r="E158" s="125" t="n">
        <x:v>122232.21</x:v>
      </x:c>
      <x:c r="F158" s="125" t="n">
        <x:v>112774.49</x:v>
      </x:c>
      <x:c r="G158" s="120" t="n">
        <x:v>7</x:v>
      </x:c>
      <x:c r="H158" s="125" t="n">
        <x:v>-792.9764748587954</x:v>
      </x:c>
      <x:c r="I158" s="126" t="n">
        <x:f>H158/'Data &amp; Targets'!$C$34</x:f>
        <x:v>-0.07929764748587954</x:v>
      </x:c>
      <x:c r="J158" s="126" t="n">
        <x:v>0.0324580566775321</x:v>
      </x:c>
      <x:c r="K158" s="120" t="str">
        <x:v>已平仓</x:v>
      </x:c>
      <x:c r="L158" s="120" t="str">
        <x:f>IF(K158="未平仓","浮盈未实现",IF(I158&gt;='Data &amp; Targets'!$C$31,"大收益交易",IF(I158&lt;0,"亏损","普通盈利")))</x:f>
        <x:v>亏损</x:v>
      </x:c>
      <x:c r="M158" s="120" t="str">
        <x:v>ATR trail close</x:v>
      </x:c>
      <x:c r="N158" s="120" t="str">
        <x:v>structural_trail</x:v>
      </x:c>
    </x:row>
    <x:row r="159" ht="23" customHeight="1">
      <x:c r="A159" s="120" t="str">
        <x:v>结构线段3ATR</x:v>
      </x:c>
      <x:c r="B159" s="120" t="str">
        <x:v>多</x:v>
      </x:c>
      <x:c r="C159" s="124" t="n">
        <x:v>46130</x:v>
      </x:c>
      <x:c r="D159" s="124" t="n">
        <x:v>46165</x:v>
      </x:c>
      <x:c r="E159" s="125" t="n">
        <x:v>77072.01</x:v>
      </x:c>
      <x:c r="F159" s="125" t="n">
        <x:v>75539.5</x:v>
      </x:c>
      <x:c r="G159" s="120" t="n">
        <x:v>35</x:v>
      </x:c>
      <x:c r="H159" s="125" t="n">
        <x:v>-218.64247604285848</x:v>
      </x:c>
      <x:c r="I159" s="126" t="n">
        <x:f>H159/'Data &amp; Targets'!$C$34</x:f>
        <x:v>-0.021864247604285847</x:v>
      </x:c>
      <x:c r="J159" s="126" t="n">
        <x:v>0.07496872081057715</x:v>
      </x:c>
      <x:c r="K159" s="120" t="str">
        <x:v>已平仓</x:v>
      </x:c>
      <x:c r="L159" s="120" t="str">
        <x:f>IF(K159="未平仓","浮盈未实现",IF(I159&gt;='Data &amp; Targets'!$C$31,"大收益交易",IF(I159&lt;0,"亏损","普通盈利")))</x:f>
        <x:v>亏损</x:v>
      </x:c>
      <x:c r="M159" s="120" t="str">
        <x:v>ATR trail close</x:v>
      </x:c>
      <x:c r="N159" s="120" t="str">
        <x:v>structural_trail</x:v>
      </x:c>
    </x:row>
    <x:row r="160" ht="23" customHeight="1">
      <x:c r="A160" s="120" t="str">
        <x:v>结构线段3ATR</x:v>
      </x:c>
      <x:c r="B160" s="120" t="str">
        <x:v>多</x:v>
      </x:c>
      <x:c r="C160" s="124" t="n">
        <x:v>46255</x:v>
      </x:c>
      <x:c r="D160" s="124"/>
      <x:c r="E160" s="125" t="n">
        <x:v>73027.02</x:v>
      </x:c>
      <x:c r="F160" s="125" t="n">
        <x:v>80341.83</x:v>
      </x:c>
      <x:c r="G160" s="120" t="n">
        <x:v>16</x:v>
      </x:c>
      <x:c r="H160" s="125" t="n">
        <x:v>991.6580164437761</x:v>
      </x:c>
      <x:c r="I160" s="126" t="n">
        <x:f>H160/'Data &amp; Targets'!$C$34</x:f>
        <x:v>0.0991658016443776</x:v>
      </x:c>
      <x:c r="J160" s="126"/>
      <x:c r="K160" s="120" t="str">
        <x:v>未平仓</x:v>
      </x:c>
      <x:c r="L160" s="120" t="str">
        <x:f>IF(K160="未平仓","浮盈未实现",IF(I160&gt;='Data &amp; Targets'!$C$31,"大收益交易",IF(I160&lt;0,"亏损","普通盈利")))</x:f>
        <x:v>浮盈未实现</x:v>
      </x:c>
      <x:c r="M160" s="120" t="str">
        <x:v>期末按收盘估值；仅扣已付开仓费</x:v>
      </x:c>
      <x:c r="N160" s="120" t="str">
        <x:v>structural_trail</x:v>
      </x:c>
    </x:row>
    <x:row r="161" ht="23" customHeight="1">
      <x:c r="A161" s="120" t="str">
        <x:v>EMA25纯52退出</x:v>
      </x:c>
      <x:c r="B161" s="120" t="str">
        <x:v>多</x:v>
      </x:c>
      <x:c r="C161" s="124" t="n">
        <x:v>45372</x:v>
      </x:c>
      <x:c r="D161" s="124" t="n">
        <x:v>45396</x:v>
      </x:c>
      <x:c r="E161" s="125" t="n">
        <x:v>67840.51</x:v>
      </x:c>
      <x:c r="F161" s="125" t="n">
        <x:v>63924.52</x:v>
      </x:c>
      <x:c r="G161" s="120" t="n">
        <x:v>24</x:v>
      </x:c>
      <x:c r="H161" s="125" t="n">
        <x:v>-596.6575177574576</x:v>
      </x:c>
      <x:c r="I161" s="126" t="n">
        <x:f>H161/'Data &amp; Targets'!$C$34</x:f>
        <x:v>-0.05966575177574576</x:v>
      </x:c>
      <x:c r="J161" s="126" t="n">
        <x:v>0.07307551196180584</x:v>
      </x:c>
      <x:c r="K161" s="120" t="str">
        <x:v>已平仓</x:v>
      </x:c>
      <x:c r="L161" s="120" t="str">
        <x:f>IF(K161="未平仓","浮盈未实现",IF(I161&gt;='Data &amp; Targets'!$C$31,"大收益交易",IF(I161&lt;0,"亏损","普通盈利")))</x:f>
        <x:v>亏损</x:v>
      </x:c>
      <x:c r="M161" s="120" t="str">
        <x:v>EMA52 level</x:v>
      </x:c>
      <x:c r="N161" s="120" t="str">
        <x:v>pure52</x:v>
      </x:c>
    </x:row>
    <x:row r="162" ht="23" customHeight="1">
      <x:c r="A162" s="120" t="str">
        <x:v>EMA25纯52退出</x:v>
      </x:c>
      <x:c r="B162" s="120" t="str">
        <x:v>多</x:v>
      </x:c>
      <x:c r="C162" s="124" t="n">
        <x:v>45405</x:v>
      </x:c>
      <x:c r="D162" s="124" t="n">
        <x:v>45407</x:v>
      </x:c>
      <x:c r="E162" s="125" t="n">
        <x:v>66819.32</x:v>
      </x:c>
      <x:c r="F162" s="125" t="n">
        <x:v>64289.58</x:v>
      </x:c>
      <x:c r="G162" s="120" t="n">
        <x:v>2</x:v>
      </x:c>
      <x:c r="H162" s="125" t="n">
        <x:v>-398.21550114547784</x:v>
      </x:c>
      <x:c r="I162" s="126" t="n">
        <x:f>H162/'Data &amp; Targets'!$C$34</x:f>
        <x:v>-0.039821550114547785</x:v>
      </x:c>
      <x:c r="J162" s="126" t="n">
        <x:v>0.005442886877627506</x:v>
      </x:c>
      <x:c r="K162" s="120" t="str">
        <x:v>已平仓</x:v>
      </x:c>
      <x:c r="L162" s="120" t="str">
        <x:f>IF(K162="未平仓","浮盈未实现",IF(I162&gt;='Data &amp; Targets'!$C$31,"大收益交易",IF(I162&lt;0,"亏损","普通盈利")))</x:f>
        <x:v>亏损</x:v>
      </x:c>
      <x:c r="M162" s="120" t="str">
        <x:v>EMA52 level</x:v>
      </x:c>
      <x:c r="N162" s="120" t="str">
        <x:v>pure52</x:v>
      </x:c>
    </x:row>
    <x:row r="163" ht="23" customHeight="1">
      <x:c r="A163" s="120" t="str">
        <x:v>EMA25纯52退出</x:v>
      </x:c>
      <x:c r="B163" s="120" t="str">
        <x:v>多</x:v>
      </x:c>
      <x:c r="C163" s="124" t="n">
        <x:v>45506</x:v>
      </x:c>
      <x:c r="D163" s="124" t="n">
        <x:v>45507</x:v>
      </x:c>
      <x:c r="E163" s="125" t="n">
        <x:v>65354.02</x:v>
      </x:c>
      <x:c r="F163" s="125" t="n">
        <x:v>61498.34</x:v>
      </x:c>
      <x:c r="G163" s="120" t="n">
        <x:v>1</x:v>
      </x:c>
      <x:c r="H163" s="125" t="n">
        <x:v>-609.378330514328</x:v>
      </x:c>
      <x:c r="I163" s="126" t="n">
        <x:f>H163/'Data &amp; Targets'!$C$34</x:f>
        <x:v>-0.0609378330514328</x:v>
      </x:c>
      <x:c r="J163" s="126" t="n">
        <x:v>0.00370474532400622</x:v>
      </x:c>
      <x:c r="K163" s="120" t="str">
        <x:v>已平仓</x:v>
      </x:c>
      <x:c r="L163" s="120" t="str">
        <x:f>IF(K163="未平仓","浮盈未实现",IF(I163&gt;='Data &amp; Targets'!$C$31,"大收益交易",IF(I163&lt;0,"亏损","普通盈利")))</x:f>
        <x:v>亏损</x:v>
      </x:c>
      <x:c r="M163" s="120" t="str">
        <x:v>EMA52 level</x:v>
      </x:c>
      <x:c r="N163" s="120" t="str">
        <x:v>pure52</x:v>
      </x:c>
    </x:row>
    <x:row r="164" ht="23" customHeight="1">
      <x:c r="A164" s="120" t="str">
        <x:v>EMA25纯52退出</x:v>
      </x:c>
      <x:c r="B164" s="120" t="str">
        <x:v>多</x:v>
      </x:c>
      <x:c r="C164" s="124" t="n">
        <x:v>45570</x:v>
      </x:c>
      <x:c r="D164" s="124" t="n">
        <x:v>45575</x:v>
      </x:c>
      <x:c r="E164" s="125" t="n">
        <x:v>62086</x:v>
      </x:c>
      <x:c r="F164" s="125" t="n">
        <x:v>60636.01</x:v>
      </x:c>
      <x:c r="G164" s="120" t="n">
        <x:v>5</x:v>
      </x:c>
      <x:c r="H164" s="125" t="n">
        <x:v>-253.3118593563763</x:v>
      </x:c>
      <x:c r="I164" s="126" t="n">
        <x:f>H164/'Data &amp; Targets'!$C$34</x:f>
        <x:v>-0.02533118593563763</x:v>
      </x:c>
      <x:c r="J164" s="126" t="n">
        <x:v>0.0385302644718617</x:v>
      </x:c>
      <x:c r="K164" s="120" t="str">
        <x:v>已平仓</x:v>
      </x:c>
      <x:c r="L164" s="120" t="str">
        <x:f>IF(K164="未平仓","浮盈未实现",IF(I164&gt;='Data &amp; Targets'!$C$31,"大收益交易",IF(I164&lt;0,"亏损","普通盈利")))</x:f>
        <x:v>亏损</x:v>
      </x:c>
      <x:c r="M164" s="120" t="str">
        <x:v>EMA52 level</x:v>
      </x:c>
      <x:c r="N164" s="120" t="str">
        <x:v>pure52</x:v>
      </x:c>
    </x:row>
    <x:row r="165" ht="23" customHeight="1">
      <x:c r="A165" s="120" t="str">
        <x:v>EMA25纯52退出</x:v>
      </x:c>
      <x:c r="B165" s="120" t="str">
        <x:v>多</x:v>
      </x:c>
      <x:c r="C165" s="124" t="n">
        <x:v>45577</x:v>
      </x:c>
      <x:c r="D165" s="124" t="n">
        <x:v>45657</x:v>
      </x:c>
      <x:c r="E165" s="125" t="n">
        <x:v>62539.99</x:v>
      </x:c>
      <x:c r="F165" s="125" t="n">
        <x:v>92792.05</x:v>
      </x:c>
      <x:c r="G165" s="120" t="n">
        <x:v>80</x:v>
      </x:c>
      <x:c r="H165" s="125" t="n">
        <x:v>4812.397309305616</x:v>
      </x:c>
      <x:c r="I165" s="126" t="n">
        <x:f>H165/'Data &amp; Targets'!$C$34</x:f>
        <x:v>0.48123973093056155</x:v>
      </x:c>
      <x:c r="J165" s="126" t="n">
        <x:v>0.7325394519570598</x:v>
      </x:c>
      <x:c r="K165" s="120" t="str">
        <x:v>已平仓</x:v>
      </x:c>
      <x:c r="L165" s="120" t="str">
        <x:f>IF(K165="未平仓","浮盈未实现",IF(I165&gt;='Data &amp; Targets'!$C$31,"大收益交易",IF(I165&lt;0,"亏损","普通盈利")))</x:f>
        <x:v>大收益交易</x:v>
      </x:c>
      <x:c r="M165" s="120" t="str">
        <x:v>EMA52 level</x:v>
      </x:c>
      <x:c r="N165" s="120" t="str">
        <x:v>pure52</x:v>
      </x:c>
    </x:row>
    <x:row r="166" ht="23" customHeight="1">
      <x:c r="A166" s="120" t="str">
        <x:v>EMA25纯52退出</x:v>
      </x:c>
      <x:c r="B166" s="120" t="str">
        <x:v>多</x:v>
      </x:c>
      <x:c r="C166" s="124" t="n">
        <x:v>45660</x:v>
      </x:c>
      <x:c r="D166" s="124" t="n">
        <x:v>45667</x:v>
      </x:c>
      <x:c r="E166" s="125" t="n">
        <x:v>96984.79</x:v>
      </x:c>
      <x:c r="F166" s="125" t="n">
        <x:v>92552.49</x:v>
      </x:c>
      <x:c r="G166" s="120" t="n">
        <x:v>7</x:v>
      </x:c>
      <x:c r="H166" s="125" t="n">
        <x:v>-476.55279554659944</x:v>
      </x:c>
      <x:c r="I166" s="126" t="n">
        <x:f>H166/'Data &amp; Targets'!$C$34</x:f>
        <x:v>-0.047655279554659945</x:v>
      </x:c>
      <x:c r="J166" s="126" t="n">
        <x:v>0.05918031064458673</x:v>
      </x:c>
      <x:c r="K166" s="120" t="str">
        <x:v>已平仓</x:v>
      </x:c>
      <x:c r="L166" s="120" t="str">
        <x:f>IF(K166="未平仓","浮盈未实现",IF(I166&gt;='Data &amp; Targets'!$C$31,"大收益交易",IF(I166&lt;0,"亏损","普通盈利")))</x:f>
        <x:v>亏损</x:v>
      </x:c>
      <x:c r="M166" s="120" t="str">
        <x:v>EMA52 level</x:v>
      </x:c>
      <x:c r="N166" s="120" t="str">
        <x:v>pure52</x:v>
      </x:c>
    </x:row>
    <x:row r="167" ht="23" customHeight="1">
      <x:c r="A167" s="120" t="str">
        <x:v>EMA25纯52退出</x:v>
      </x:c>
      <x:c r="B167" s="120" t="str">
        <x:v>多</x:v>
      </x:c>
      <x:c r="C167" s="124" t="n">
        <x:v>45672</x:v>
      </x:c>
      <x:c r="D167" s="124" t="n">
        <x:v>45691</x:v>
      </x:c>
      <x:c r="E167" s="125" t="n">
        <x:v>96560.85</x:v>
      </x:c>
      <x:c r="F167" s="125" t="n">
        <x:v>97700.59</x:v>
      </x:c>
      <x:c r="G167" s="120" t="n">
        <x:v>19</x:v>
      </x:c>
      <x:c r="H167" s="125" t="n">
        <x:v>97.91531039753592</x:v>
      </x:c>
      <x:c r="I167" s="126" t="n">
        <x:f>H167/'Data &amp; Targets'!$C$34</x:f>
        <x:v>0.009791531039753592</x:v>
      </x:c>
      <x:c r="J167" s="126" t="n">
        <x:v>0.13491130204425494</x:v>
      </x:c>
      <x:c r="K167" s="120" t="str">
        <x:v>已平仓</x:v>
      </x:c>
      <x:c r="L167" s="120" t="str">
        <x:f>IF(K167="未平仓","浮盈未实现",IF(I167&gt;='Data &amp; Targets'!$C$31,"大收益交易",IF(I167&lt;0,"亏损","普通盈利")))</x:f>
        <x:v>普通盈利</x:v>
      </x:c>
      <x:c r="M167" s="120" t="str">
        <x:v>EMA52 level</x:v>
      </x:c>
      <x:c r="N167" s="120" t="str">
        <x:v>pure52</x:v>
      </x:c>
    </x:row>
    <x:row r="168" ht="23" customHeight="1">
      <x:c r="A168" s="120" t="str">
        <x:v>EMA25纯52退出</x:v>
      </x:c>
      <x:c r="B168" s="120" t="str">
        <x:v>多</x:v>
      </x:c>
      <x:c r="C168" s="124" t="n">
        <x:v>45692</x:v>
      </x:c>
      <x:c r="D168" s="124" t="n">
        <x:v>45693</x:v>
      </x:c>
      <x:c r="E168" s="125" t="n">
        <x:v>101328.51</x:v>
      </x:c>
      <x:c r="F168" s="125" t="n">
        <x:v>97763.14</x:v>
      </x:c>
      <x:c r="G168" s="120" t="n">
        <x:v>1</x:v>
      </x:c>
      <x:c r="H168" s="125" t="n">
        <x:v>-371.5106094030195</x:v>
      </x:c>
      <x:c r="I168" s="126" t="n">
        <x:f>H168/'Data &amp; Targets'!$C$34</x:f>
        <x:v>-0.03715106094030195</x:v>
      </x:c>
      <x:c r="J168" s="126" t="n">
        <x:v>0.0039850581045748346</x:v>
      </x:c>
      <x:c r="K168" s="120" t="str">
        <x:v>已平仓</x:v>
      </x:c>
      <x:c r="L168" s="120" t="str">
        <x:f>IF(K168="未平仓","浮盈未实现",IF(I168&gt;='Data &amp; Targets'!$C$31,"大收益交易",IF(I168&lt;0,"亏损","普通盈利")))</x:f>
        <x:v>亏损</x:v>
      </x:c>
      <x:c r="M168" s="120" t="str">
        <x:v>EMA52 level</x:v>
      </x:c>
      <x:c r="N168" s="120" t="str">
        <x:v>pure52</x:v>
      </x:c>
    </x:row>
    <x:row r="169" ht="23" customHeight="1">
      <x:c r="A169" s="120" t="str">
        <x:v>EMA25纯52退出</x:v>
      </x:c>
      <x:c r="B169" s="120" t="str">
        <x:v>多</x:v>
      </x:c>
      <x:c r="C169" s="124" t="n">
        <x:v>45809</x:v>
      </x:c>
      <x:c r="D169" s="124" t="n">
        <x:v>45830</x:v>
      </x:c>
      <x:c r="E169" s="125" t="n">
        <x:v>104591.88</x:v>
      </x:c>
      <x:c r="F169" s="125" t="n">
        <x:v>102120.02</x:v>
      </x:c>
      <x:c r="G169" s="120" t="n">
        <x:v>21</x:v>
      </x:c>
      <x:c r="H169" s="125" t="n">
        <x:v>-256.0975001118634</x:v>
      </x:c>
      <x:c r="I169" s="126" t="n">
        <x:f>H169/'Data &amp; Targets'!$C$34</x:f>
        <x:v>-0.025609750011186337</x:v>
      </x:c>
      <x:c r="J169" s="126" t="n">
        <x:v>0.056775822367854945</x:v>
      </x:c>
      <x:c r="K169" s="120" t="str">
        <x:v>已平仓</x:v>
      </x:c>
      <x:c r="L169" s="120" t="str">
        <x:f>IF(K169="未平仓","浮盈未实现",IF(I169&gt;='Data &amp; Targets'!$C$31,"大收益交易",IF(I169&lt;0,"亏损","普通盈利")))</x:f>
        <x:v>亏损</x:v>
      </x:c>
      <x:c r="M169" s="120" t="str">
        <x:v>EMA52 level</x:v>
      </x:c>
      <x:c r="N169" s="120" t="str">
        <x:v>pure52</x:v>
      </x:c>
    </x:row>
    <x:row r="170" ht="23" customHeight="1">
      <x:c r="A170" s="120" t="str">
        <x:v>EMA25纯52退出</x:v>
      </x:c>
      <x:c r="B170" s="120" t="str">
        <x:v>多</x:v>
      </x:c>
      <x:c r="C170" s="124" t="n">
        <x:v>45832</x:v>
      </x:c>
      <x:c r="D170" s="124" t="n">
        <x:v>45872</x:v>
      </x:c>
      <x:c r="E170" s="125" t="n">
        <x:v>105333.94</x:v>
      </x:c>
      <x:c r="F170" s="125" t="n">
        <x:v>112546.35</x:v>
      </x:c>
      <x:c r="G170" s="120" t="n">
        <x:v>40</x:v>
      </x:c>
      <x:c r="H170" s="125" t="n">
        <x:v>664.0338061976989</x:v>
      </x:c>
      <x:c r="I170" s="126" t="n">
        <x:f>H170/'Data &amp; Targets'!$C$34</x:f>
        <x:v>0.0664033806197699</x:v>
      </x:c>
      <x:c r="J170" s="126" t="n">
        <x:v>0.1697844018746475</x:v>
      </x:c>
      <x:c r="K170" s="120" t="str">
        <x:v>已平仓</x:v>
      </x:c>
      <x:c r="L170" s="120" t="str">
        <x:f>IF(K170="未平仓","浮盈未实现",IF(I170&gt;='Data &amp; Targets'!$C$31,"大收益交易",IF(I170&lt;0,"亏损","普通盈利")))</x:f>
        <x:v>普通盈利</x:v>
      </x:c>
      <x:c r="M170" s="120" t="str">
        <x:v>EMA52 level</x:v>
      </x:c>
      <x:c r="N170" s="120" t="str">
        <x:v>pure52</x:v>
      </x:c>
    </x:row>
    <x:row r="171" ht="23" customHeight="1">
      <x:c r="A171" s="120" t="str">
        <x:v>EMA25纯52退出</x:v>
      </x:c>
      <x:c r="B171" s="120" t="str">
        <x:v>多</x:v>
      </x:c>
      <x:c r="C171" s="124" t="n">
        <x:v>45877</x:v>
      </x:c>
      <x:c r="D171" s="124" t="n">
        <x:v>45889</x:v>
      </x:c>
      <x:c r="E171" s="125" t="n">
        <x:v>117472.02</x:v>
      </x:c>
      <x:c r="F171" s="125" t="n">
        <x:v>112872.95</x:v>
      </x:c>
      <x:c r="G171" s="120" t="n">
        <x:v>12</x:v>
      </x:c>
      <x:c r="H171" s="125" t="n">
        <x:v>-411.11193712341094</x:v>
      </x:c>
      <x:c r="I171" s="126" t="n">
        <x:f>H171/'Data &amp; Targets'!$C$34</x:f>
        <x:v>-0.04111119371234109</x:v>
      </x:c>
      <x:c r="J171" s="126" t="n">
        <x:v>0.05960551287021376</x:v>
      </x:c>
      <x:c r="K171" s="120" t="str">
        <x:v>已平仓</x:v>
      </x:c>
      <x:c r="L171" s="120" t="str">
        <x:f>IF(K171="未平仓","浮盈未实现",IF(I171&gt;='Data &amp; Targets'!$C$31,"大收益交易",IF(I171&lt;0,"亏损","普通盈利")))</x:f>
        <x:v>亏损</x:v>
      </x:c>
      <x:c r="M171" s="120" t="str">
        <x:v>EMA52 level</x:v>
      </x:c>
      <x:c r="N171" s="120" t="str">
        <x:v>pure52</x:v>
      </x:c>
    </x:row>
    <x:row r="172" ht="23" customHeight="1">
      <x:c r="A172" s="120" t="str">
        <x:v>EMA25纯52退出</x:v>
      </x:c>
      <x:c r="B172" s="120" t="str">
        <x:v>多</x:v>
      </x:c>
      <x:c r="C172" s="124" t="n">
        <x:v>45892</x:v>
      </x:c>
      <x:c r="D172" s="124" t="n">
        <x:v>45894</x:v>
      </x:c>
      <x:c r="E172" s="125" t="n">
        <x:v>116936</x:v>
      </x:c>
      <x:c r="F172" s="125" t="n">
        <x:v>113493.59</x:v>
      </x:c>
      <x:c r="G172" s="120" t="n">
        <x:v>2</x:v>
      </x:c>
      <x:c r="H172" s="125" t="n">
        <x:v>-314.08972343846233</x:v>
      </x:c>
      <x:c r="I172" s="126" t="n">
        <x:f>H172/'Data &amp; Targets'!$C$34</x:f>
        <x:v>-0.03140897234384623</x:v>
      </x:c>
      <x:c r="J172" s="126" t="n">
        <x:v>0.000803858520900258</x:v>
      </x:c>
      <x:c r="K172" s="120" t="str">
        <x:v>已平仓</x:v>
      </x:c>
      <x:c r="L172" s="120" t="str">
        <x:f>IF(K172="未平仓","浮盈未实现",IF(I172&gt;='Data &amp; Targets'!$C$31,"大收益交易",IF(I172&lt;0,"亏损","普通盈利")))</x:f>
        <x:v>亏损</x:v>
      </x:c>
      <x:c r="M172" s="120" t="str">
        <x:v>EMA52 level</x:v>
      </x:c>
      <x:c r="N172" s="120" t="str">
        <x:v>pure52</x:v>
      </x:c>
    </x:row>
    <x:row r="173" ht="23" customHeight="1">
      <x:c r="A173" s="120" t="str">
        <x:v>EMA25纯52退出</x:v>
      </x:c>
      <x:c r="B173" s="120" t="str">
        <x:v>多</x:v>
      </x:c>
      <x:c r="C173" s="124" t="n">
        <x:v>45930</x:v>
      </x:c>
      <x:c r="D173" s="124" t="n">
        <x:v>45941</x:v>
      </x:c>
      <x:c r="E173" s="125" t="n">
        <x:v>114311.97</x:v>
      </x:c>
      <x:c r="F173" s="125" t="n">
        <x:v>112774.49</x:v>
      </x:c>
      <x:c r="G173" s="120" t="n">
        <x:v>11</x:v>
      </x:c>
      <x:c r="H173" s="125" t="n">
        <x:v>-154.36410202711016</x:v>
      </x:c>
      <x:c r="I173" s="126" t="n">
        <x:f>H173/'Data &amp; Targets'!$C$34</x:f>
        <x:v>-0.015436410202711016</x:v>
      </x:c>
      <x:c r="J173" s="126" t="n">
        <x:v>0.10399313387740584</x:v>
      </x:c>
      <x:c r="K173" s="120" t="str">
        <x:v>已平仓</x:v>
      </x:c>
      <x:c r="L173" s="120" t="str">
        <x:f>IF(K173="未平仓","浮盈未实现",IF(I173&gt;='Data &amp; Targets'!$C$31,"大收益交易",IF(I173&lt;0,"亏损","普通盈利")))</x:f>
        <x:v>亏损</x:v>
      </x:c>
      <x:c r="M173" s="120" t="str">
        <x:v>EMA52 level</x:v>
      </x:c>
      <x:c r="N173" s="120" t="str">
        <x:v>pure52</x:v>
      </x:c>
    </x:row>
    <x:row r="174" ht="23" customHeight="1">
      <x:c r="A174" s="120" t="str">
        <x:v>EMA25纯52退出</x:v>
      </x:c>
      <x:c r="B174" s="120" t="str">
        <x:v>多</x:v>
      </x:c>
      <x:c r="C174" s="124" t="n">
        <x:v>46105</x:v>
      </x:c>
      <x:c r="D174" s="124" t="n">
        <x:v>46106</x:v>
      </x:c>
      <x:c r="E174" s="125" t="n">
        <x:v>70906.45</x:v>
      </x:c>
      <x:c r="F174" s="125" t="n">
        <x:v>70556.74</x:v>
      </x:c>
      <x:c r="G174" s="120" t="n">
        <x:v>1</x:v>
      </x:c>
      <x:c r="H174" s="125" t="n">
        <x:v>-69.27059385993684</x:v>
      </x:c>
      <x:c r="I174" s="126" t="n">
        <x:f>H174/'Data &amp; Targets'!$C$34</x:f>
        <x:v>-0.006927059385993684</x:v>
      </x:c>
      <x:c r="J174" s="126" t="n">
        <x:v>0.0069605797497971356</x:v>
      </x:c>
      <x:c r="K174" s="120" t="str">
        <x:v>已平仓</x:v>
      </x:c>
      <x:c r="L174" s="120" t="str">
        <x:f>IF(K174="未平仓","浮盈未实现",IF(I174&gt;='Data &amp; Targets'!$C$31,"大收益交易",IF(I174&lt;0,"亏损","普通盈利")))</x:f>
        <x:v>亏损</x:v>
      </x:c>
      <x:c r="M174" s="120" t="str">
        <x:v>EMA52 level</x:v>
      </x:c>
      <x:c r="N174" s="120" t="str">
        <x:v>pure52</x:v>
      </x:c>
    </x:row>
    <x:row r="175" ht="23" customHeight="1">
      <x:c r="A175" s="120" t="str">
        <x:v>EMA25纯52退出</x:v>
      </x:c>
      <x:c r="B175" s="120" t="str">
        <x:v>多</x:v>
      </x:c>
      <x:c r="C175" s="124" t="n">
        <x:v>46229</x:v>
      </x:c>
      <x:c r="D175" s="124" t="n">
        <x:v>46231</x:v>
      </x:c>
      <x:c r="E175" s="125" t="n">
        <x:v>64375.01</x:v>
      </x:c>
      <x:c r="F175" s="125" t="n">
        <x:v>63755.86</x:v>
      </x:c>
      <x:c r="G175" s="120" t="n">
        <x:v>2</x:v>
      </x:c>
      <x:c r="H175" s="125" t="n">
        <x:v>-116.08244721049385</x:v>
      </x:c>
      <x:c r="I175" s="126" t="n">
        <x:f>H175/'Data &amp; Targets'!$C$34</x:f>
        <x:v>-0.011608244721049385</x:v>
      </x:c>
      <x:c r="J175" s="126" t="n">
        <x:v>0.021275181161136913</x:v>
      </x:c>
      <x:c r="K175" s="120" t="str">
        <x:v>已平仓</x:v>
      </x:c>
      <x:c r="L175" s="120" t="str">
        <x:f>IF(K175="未平仓","浮盈未实现",IF(I175&gt;='Data &amp; Targets'!$C$31,"大收益交易",IF(I175&lt;0,"亏损","普通盈利")))</x:f>
        <x:v>亏损</x:v>
      </x:c>
      <x:c r="M175" s="120" t="str">
        <x:v>EMA52 level</x:v>
      </x:c>
      <x:c r="N175" s="120" t="str">
        <x:v>pure52</x:v>
      </x:c>
    </x:row>
    <x:row r="176" ht="23" customHeight="1">
      <x:c r="A176" s="120" t="str">
        <x:v>EMA25纯52退出</x:v>
      </x:c>
      <x:c r="B176" s="120" t="str">
        <x:v>多</x:v>
      </x:c>
      <x:c r="C176" s="124" t="n">
        <x:v>46234</x:v>
      </x:c>
      <x:c r="D176" s="124" t="n">
        <x:v>46235</x:v>
      </x:c>
      <x:c r="E176" s="125" t="n">
        <x:v>64780.03</x:v>
      </x:c>
      <x:c r="F176" s="125" t="n">
        <x:v>62887.88</x:v>
      </x:c>
      <x:c r="G176" s="120" t="n">
        <x:v>1</x:v>
      </x:c>
      <x:c r="H176" s="125" t="n">
        <x:v>-311.79638385471594</x:v>
      </x:c>
      <x:c r="I176" s="126" t="n">
        <x:f>H176/'Data &amp; Targets'!$C$34</x:f>
        <x:v>-0.031179638385471595</x:v>
      </x:c>
      <x:c r="J176" s="126" t="n">
        <x:v>0.009717964008352453</x:v>
      </x:c>
      <x:c r="K176" s="120" t="str">
        <x:v>已平仓</x:v>
      </x:c>
      <x:c r="L176" s="120" t="str">
        <x:f>IF(K176="未平仓","浮盈未实现",IF(I176&gt;='Data &amp; Targets'!$C$31,"大收益交易",IF(I176&lt;0,"亏损","普通盈利")))</x:f>
        <x:v>亏损</x:v>
      </x:c>
      <x:c r="M176" s="120" t="str">
        <x:v>EMA52 level</x:v>
      </x:c>
      <x:c r="N176" s="120" t="str">
        <x:v>pure52</x:v>
      </x:c>
    </x:row>
    <x:row r="177" ht="23" customHeight="1">
      <x:c r="A177" s="120" t="str">
        <x:v>EMA25纯52退出</x:v>
      </x:c>
      <x:c r="B177" s="120" t="str">
        <x:v>多</x:v>
      </x:c>
      <x:c r="C177" s="124" t="n">
        <x:v>46239</x:v>
      </x:c>
      <x:c r="D177" s="124" t="n">
        <x:v>46240</x:v>
      </x:c>
      <x:c r="E177" s="125" t="n">
        <x:v>64106.55</x:v>
      </x:c>
      <x:c r="F177" s="125" t="n">
        <x:v>64665.24</x:v>
      </x:c>
      <x:c r="G177" s="120" t="n">
        <x:v>1</x:v>
      </x:c>
      <x:c r="H177" s="125" t="n">
        <x:v>67.06307077825822</x:v>
      </x:c>
      <x:c r="I177" s="126" t="n">
        <x:f>H177/'Data &amp; Targets'!$C$34</x:f>
        <x:v>0.006706307077825822</x:v>
      </x:c>
      <x:c r="J177" s="126" t="n">
        <x:v>0.014330360938156872</x:v>
      </x:c>
      <x:c r="K177" s="120" t="str">
        <x:v>已平仓</x:v>
      </x:c>
      <x:c r="L177" s="120" t="str">
        <x:f>IF(K177="未平仓","浮盈未实现",IF(I177&gt;='Data &amp; Targets'!$C$31,"大收益交易",IF(I177&lt;0,"亏损","普通盈利")))</x:f>
        <x:v>普通盈利</x:v>
      </x:c>
      <x:c r="M177" s="120" t="str">
        <x:v>EMA52 level</x:v>
      </x:c>
      <x:c r="N177" s="120" t="str">
        <x:v>pure52</x:v>
      </x:c>
    </x:row>
    <x:row r="178" ht="23" customHeight="1">
      <x:c r="A178" s="120" t="str">
        <x:v>EMA25纯52退出</x:v>
      </x:c>
      <x:c r="B178" s="120" t="str">
        <x:v>多</x:v>
      </x:c>
      <x:c r="C178" s="124" t="n">
        <x:v>46252</x:v>
      </x:c>
      <x:c r="D178" s="124"/>
      <x:c r="E178" s="125" t="n">
        <x:v>64532.11</x:v>
      </x:c>
      <x:c r="F178" s="125" t="n">
        <x:v>80341.83</x:v>
      </x:c>
      <x:c r="G178" s="120" t="n">
        <x:v>19</x:v>
      </x:c>
      <x:c r="H178" s="125" t="n">
        <x:v>2439.899747583025</x:v>
      </x:c>
      <x:c r="I178" s="126" t="n">
        <x:f>H178/'Data &amp; Targets'!$C$34</x:f>
        <x:v>0.2439899747583025</x:v>
      </x:c>
      <x:c r="J178" s="126"/>
      <x:c r="K178" s="120" t="str">
        <x:v>未平仓</x:v>
      </x:c>
      <x:c r="L178" s="120" t="str">
        <x:f>IF(K178="未平仓","浮盈未实现",IF(I178&gt;='Data &amp; Targets'!$C$31,"大收益交易",IF(I178&lt;0,"亏损","普通盈利")))</x:f>
        <x:v>浮盈未实现</x:v>
      </x:c>
      <x:c r="M178" s="120" t="str">
        <x:v>期末按收盘估值；仅扣已付开仓费</x:v>
      </x:c>
      <x:c r="N178" s="120" t="str">
        <x:v>pure52</x:v>
      </x:c>
    </x:row>
    <x:row r="179" ht="23" customHeight="1">
      <x:c r="A179" s="120" t="str">
        <x:v>状态补入原退出</x:v>
      </x:c>
      <x:c r="B179" s="120" t="str">
        <x:v>多</x:v>
      </x:c>
      <x:c r="C179" s="124" t="n">
        <x:v>45330</x:v>
      </x:c>
      <x:c r="D179" s="124" t="n">
        <x:v>45396</x:v>
      </x:c>
      <x:c r="E179" s="125" t="n">
        <x:v>44349.6</x:v>
      </x:c>
      <x:c r="F179" s="125" t="n">
        <x:v>63924.52</x:v>
      </x:c>
      <x:c r="G179" s="120" t="n">
        <x:v>66</x:v>
      </x:c>
      <x:c r="H179" s="125" t="n">
        <x:v>4389.362221981709</x:v>
      </x:c>
      <x:c r="I179" s="126" t="n">
        <x:f>H179/'Data &amp; Targets'!$C$34</x:f>
        <x:v>0.4389362221981709</x:v>
      </x:c>
      <x:c r="J179" s="126" t="n">
        <x:v>0.6635324783087109</x:v>
      </x:c>
      <x:c r="K179" s="120" t="str">
        <x:v>已平仓</x:v>
      </x:c>
      <x:c r="L179" s="120" t="str">
        <x:f>IF(K179="未平仓","浮盈未实现",IF(I179&gt;='Data &amp; Targets'!$C$31,"大收益交易",IF(I179&lt;0,"亏损","普通盈利")))</x:f>
        <x:v>大收益交易</x:v>
      </x:c>
      <x:c r="M179" s="120" t="str">
        <x:v>EMA52-300 cross</x:v>
      </x:c>
      <x:c r="N179" s="120" t="str">
        <x:v>rearm</x:v>
      </x:c>
    </x:row>
    <x:row r="180" ht="23" customHeight="1">
      <x:c r="A180" s="120" t="str">
        <x:v>状态补入原退出</x:v>
      </x:c>
      <x:c r="B180" s="120" t="str">
        <x:v>多</x:v>
      </x:c>
      <x:c r="C180" s="124" t="n">
        <x:v>45405</x:v>
      </x:c>
      <x:c r="D180" s="124" t="n">
        <x:v>45409</x:v>
      </x:c>
      <x:c r="E180" s="125" t="n">
        <x:v>66819.32</x:v>
      </x:c>
      <x:c r="F180" s="125" t="n">
        <x:v>63770</x:v>
      </x:c>
      <x:c r="G180" s="120" t="n">
        <x:v>4</x:v>
      </x:c>
      <x:c r="H180" s="125" t="n">
        <x:v>-475.896689759789</x:v>
      </x:c>
      <x:c r="I180" s="126" t="n">
        <x:f>H180/'Data &amp; Targets'!$C$34</x:f>
        <x:v>-0.047589668975978903</x:v>
      </x:c>
      <x:c r="J180" s="126" t="n">
        <x:v>0.005442886877627506</x:v>
      </x:c>
      <x:c r="K180" s="120" t="str">
        <x:v>已平仓</x:v>
      </x:c>
      <x:c r="L180" s="120" t="str">
        <x:f>IF(K180="未平仓","浮盈未实现",IF(I180&gt;='Data &amp; Targets'!$C$31,"大收益交易",IF(I180&lt;0,"亏损","普通盈利")))</x:f>
        <x:v>亏损</x:v>
      </x:c>
      <x:c r="M180" s="120" t="str">
        <x:v>EMA52-300 cross</x:v>
      </x:c>
      <x:c r="N180" s="120" t="str">
        <x:v>rearm</x:v>
      </x:c>
    </x:row>
    <x:row r="181" ht="23" customHeight="1">
      <x:c r="A181" s="120" t="str">
        <x:v>状态补入原退出</x:v>
      </x:c>
      <x:c r="B181" s="120" t="str">
        <x:v>多</x:v>
      </x:c>
      <x:c r="C181" s="124" t="n">
        <x:v>45434</x:v>
      </x:c>
      <x:c r="D181" s="124" t="n">
        <x:v>45458</x:v>
      </x:c>
      <x:c r="E181" s="125" t="n">
        <x:v>70148.34</x:v>
      </x:c>
      <x:c r="F181" s="125" t="n">
        <x:v>66043.99</x:v>
      </x:c>
      <x:c r="G181" s="120" t="n">
        <x:v>24</x:v>
      </x:c>
      <x:c r="H181" s="125" t="n">
        <x:v>-604.5107168608681</x:v>
      </x:c>
      <x:c r="I181" s="126" t="n">
        <x:f>H181/'Data &amp; Targets'!$C$34</x:f>
        <x:v>-0.060451071686086814</x:v>
      </x:c>
      <x:c r="J181" s="126" t="n">
        <x:v>0.026353866677386817</x:v>
      </x:c>
      <x:c r="K181" s="120" t="str">
        <x:v>已平仓</x:v>
      </x:c>
      <x:c r="L181" s="120" t="str">
        <x:f>IF(K181="未平仓","浮盈未实现",IF(I181&gt;='Data &amp; Targets'!$C$31,"大收益交易",IF(I181&lt;0,"亏损","普通盈利")))</x:f>
        <x:v>亏损</x:v>
      </x:c>
      <x:c r="M181" s="120" t="str">
        <x:v>EMA52-300 cross</x:v>
      </x:c>
      <x:c r="N181" s="120" t="str">
        <x:v>rearm</x:v>
      </x:c>
    </x:row>
    <x:row r="182" ht="23" customHeight="1">
      <x:c r="A182" s="120" t="str">
        <x:v>状态补入原退出</x:v>
      </x:c>
      <x:c r="B182" s="120" t="str">
        <x:v>多</x:v>
      </x:c>
      <x:c r="C182" s="124" t="n">
        <x:v>45497</x:v>
      </x:c>
      <x:c r="D182" s="124" t="n">
        <x:v>45507</x:v>
      </x:c>
      <x:c r="E182" s="125" t="n">
        <x:v>65936</x:v>
      </x:c>
      <x:c r="F182" s="125" t="n">
        <x:v>61498.34</x:v>
      </x:c>
      <x:c r="G182" s="120" t="n">
        <x:v>10</x:v>
      </x:c>
      <x:c r="H182" s="125" t="n">
        <x:v>-692.352332564912</x:v>
      </x:c>
      <x:c r="I182" s="126" t="n">
        <x:f>H182/'Data &amp; Targets'!$C$34</x:f>
        <x:v>-0.0692352332564912</x:v>
      </x:c>
      <x:c r="J182" s="126" t="n">
        <x:v>0.0628486714389711</x:v>
      </x:c>
      <x:c r="K182" s="120" t="str">
        <x:v>已平仓</x:v>
      </x:c>
      <x:c r="L182" s="120" t="str">
        <x:f>IF(K182="未平仓","浮盈未实现",IF(I182&gt;='Data &amp; Targets'!$C$31,"大收益交易",IF(I182&lt;0,"亏损","普通盈利")))</x:f>
        <x:v>亏损</x:v>
      </x:c>
      <x:c r="M182" s="120" t="str">
        <x:v>EMA52-300 cross</x:v>
      </x:c>
      <x:c r="N182" s="120" t="str">
        <x:v>rearm</x:v>
      </x:c>
    </x:row>
    <x:row r="183" ht="23" customHeight="1">
      <x:c r="A183" s="120" t="str">
        <x:v>状态补入原退出</x:v>
      </x:c>
      <x:c r="B183" s="120" t="str">
        <x:v>多</x:v>
      </x:c>
      <x:c r="C183" s="124" t="n">
        <x:v>45558</x:v>
      </x:c>
      <x:c r="D183" s="124" t="n">
        <x:v>45567</x:v>
      </x:c>
      <x:c r="E183" s="125" t="n">
        <x:v>63578.76</x:v>
      </x:c>
      <x:c r="F183" s="125" t="n">
        <x:v>60804.92</x:v>
      </x:c>
      <x:c r="G183" s="120" t="n">
        <x:v>9</x:v>
      </x:c>
      <x:c r="H183" s="125" t="n">
        <x:v>-455.8477831275734</x:v>
      </x:c>
      <x:c r="I183" s="126" t="n">
        <x:f>H183/'Data &amp; Targets'!$C$34</x:f>
        <x:v>-0.04558477831275734</x:v>
      </x:c>
      <x:c r="J183" s="126" t="n">
        <x:v>0.045915333988898244</x:v>
      </x:c>
      <x:c r="K183" s="120" t="str">
        <x:v>已平仓</x:v>
      </x:c>
      <x:c r="L183" s="120" t="str">
        <x:f>IF(K183="未平仓","浮盈未实现",IF(I183&gt;='Data &amp; Targets'!$C$31,"大收益交易",IF(I183&lt;0,"亏损","普通盈利")))</x:f>
        <x:v>亏损</x:v>
      </x:c>
      <x:c r="M183" s="120" t="str">
        <x:v>EMA52-300 cross</x:v>
      </x:c>
      <x:c r="N183" s="120" t="str">
        <x:v>rearm</x:v>
      </x:c>
    </x:row>
    <x:row r="184" ht="23" customHeight="1">
      <x:c r="A184" s="120" t="str">
        <x:v>状态补入原退出</x:v>
      </x:c>
      <x:c r="B184" s="120" t="str">
        <x:v>多</x:v>
      </x:c>
      <x:c r="C184" s="124" t="n">
        <x:v>45570</x:v>
      </x:c>
      <x:c r="D184" s="124" t="n">
        <x:v>45575</x:v>
      </x:c>
      <x:c r="E184" s="125" t="n">
        <x:v>62086</x:v>
      </x:c>
      <x:c r="F184" s="125" t="n">
        <x:v>60636.01</x:v>
      </x:c>
      <x:c r="G184" s="120" t="n">
        <x:v>5</x:v>
      </x:c>
      <x:c r="H184" s="125" t="n">
        <x:v>-253.3118593563763</x:v>
      </x:c>
      <x:c r="I184" s="126" t="n">
        <x:f>H184/'Data &amp; Targets'!$C$34</x:f>
        <x:v>-0.02533118593563763</x:v>
      </x:c>
      <x:c r="J184" s="126" t="n">
        <x:v>0.0385302644718617</x:v>
      </x:c>
      <x:c r="K184" s="120" t="str">
        <x:v>已平仓</x:v>
      </x:c>
      <x:c r="L184" s="120" t="str">
        <x:f>IF(K184="未平仓","浮盈未实现",IF(I184&gt;='Data &amp; Targets'!$C$31,"大收益交易",IF(I184&lt;0,"亏损","普通盈利")))</x:f>
        <x:v>亏损</x:v>
      </x:c>
      <x:c r="M184" s="120" t="str">
        <x:v>EMA52-300 cross</x:v>
      </x:c>
      <x:c r="N184" s="120" t="str">
        <x:v>rearm</x:v>
      </x:c>
    </x:row>
    <x:row r="185" ht="23" customHeight="1">
      <x:c r="A185" s="120" t="str">
        <x:v>状态补入原退出</x:v>
      </x:c>
      <x:c r="B185" s="120" t="str">
        <x:v>多</x:v>
      </x:c>
      <x:c r="C185" s="124" t="n">
        <x:v>45577</x:v>
      </x:c>
      <x:c r="D185" s="124" t="n">
        <x:v>45667</x:v>
      </x:c>
      <x:c r="E185" s="125" t="n">
        <x:v>62539.99</x:v>
      </x:c>
      <x:c r="F185" s="125" t="n">
        <x:v>92552.49</x:v>
      </x:c>
      <x:c r="G185" s="120" t="n">
        <x:v>90</x:v>
      </x:c>
      <x:c r="H185" s="125" t="n">
        <x:v>4774.130523525829</x:v>
      </x:c>
      <x:c r="I185" s="126" t="n">
        <x:f>H185/'Data &amp; Targets'!$C$34</x:f>
        <x:v>0.47741305235258286</x:v>
      </x:c>
      <x:c r="J185" s="126" t="n">
        <x:v>0.7325394519570598</x:v>
      </x:c>
      <x:c r="K185" s="120" t="str">
        <x:v>已平仓</x:v>
      </x:c>
      <x:c r="L185" s="120" t="str">
        <x:f>IF(K185="未平仓","浮盈未实现",IF(I185&gt;='Data &amp; Targets'!$C$31,"大收益交易",IF(I185&lt;0,"亏损","普通盈利")))</x:f>
        <x:v>大收益交易</x:v>
      </x:c>
      <x:c r="M185" s="120" t="str">
        <x:v>EMA52-300 cross</x:v>
      </x:c>
      <x:c r="N185" s="120" t="str">
        <x:v>rearm</x:v>
      </x:c>
    </x:row>
    <x:row r="186" ht="23" customHeight="1">
      <x:c r="A186" s="120" t="str">
        <x:v>状态补入原退出</x:v>
      </x:c>
      <x:c r="B186" s="120" t="str">
        <x:v>多</x:v>
      </x:c>
      <x:c r="C186" s="124" t="n">
        <x:v>45672</x:v>
      </x:c>
      <x:c r="D186" s="124" t="n">
        <x:v>45691</x:v>
      </x:c>
      <x:c r="E186" s="125" t="n">
        <x:v>96560.85</x:v>
      </x:c>
      <x:c r="F186" s="125" t="n">
        <x:v>97700.59</x:v>
      </x:c>
      <x:c r="G186" s="120" t="n">
        <x:v>19</x:v>
      </x:c>
      <x:c r="H186" s="125" t="n">
        <x:v>97.91531039753592</x:v>
      </x:c>
      <x:c r="I186" s="126" t="n">
        <x:f>H186/'Data &amp; Targets'!$C$34</x:f>
        <x:v>0.009791531039753592</x:v>
      </x:c>
      <x:c r="J186" s="126" t="n">
        <x:v>0.13491130204425494</x:v>
      </x:c>
      <x:c r="K186" s="120" t="str">
        <x:v>已平仓</x:v>
      </x:c>
      <x:c r="L186" s="120" t="str">
        <x:f>IF(K186="未平仓","浮盈未实现",IF(I186&gt;='Data &amp; Targets'!$C$31,"大收益交易",IF(I186&lt;0,"亏损","普通盈利")))</x:f>
        <x:v>普通盈利</x:v>
      </x:c>
      <x:c r="M186" s="120" t="str">
        <x:v>EMA52-300 cross</x:v>
      </x:c>
      <x:c r="N186" s="120" t="str">
        <x:v>rearm</x:v>
      </x:c>
    </x:row>
    <x:row r="187" ht="23" customHeight="1">
      <x:c r="A187" s="120" t="str">
        <x:v>状态补入原退出</x:v>
      </x:c>
      <x:c r="B187" s="120" t="str">
        <x:v>多</x:v>
      </x:c>
      <x:c r="C187" s="124" t="n">
        <x:v>45692</x:v>
      </x:c>
      <x:c r="D187" s="124" t="n">
        <x:v>45693</x:v>
      </x:c>
      <x:c r="E187" s="125" t="n">
        <x:v>101328.51</x:v>
      </x:c>
      <x:c r="F187" s="125" t="n">
        <x:v>97763.14</x:v>
      </x:c>
      <x:c r="G187" s="120" t="n">
        <x:v>1</x:v>
      </x:c>
      <x:c r="H187" s="125" t="n">
        <x:v>-371.5106094030195</x:v>
      </x:c>
      <x:c r="I187" s="126" t="n">
        <x:f>H187/'Data &amp; Targets'!$C$34</x:f>
        <x:v>-0.03715106094030195</x:v>
      </x:c>
      <x:c r="J187" s="126" t="n">
        <x:v>0.0039850581045748346</x:v>
      </x:c>
      <x:c r="K187" s="120" t="str">
        <x:v>已平仓</x:v>
      </x:c>
      <x:c r="L187" s="120" t="str">
        <x:f>IF(K187="未平仓","浮盈未实现",IF(I187&gt;='Data &amp; Targets'!$C$31,"大收益交易",IF(I187&lt;0,"亏损","普通盈利")))</x:f>
        <x:v>亏损</x:v>
      </x:c>
      <x:c r="M187" s="120" t="str">
        <x:v>EMA52-300 cross</x:v>
      </x:c>
      <x:c r="N187" s="120" t="str">
        <x:v>rearm</x:v>
      </x:c>
    </x:row>
    <x:row r="188" ht="23" customHeight="1">
      <x:c r="A188" s="120" t="str">
        <x:v>状态补入原退出</x:v>
      </x:c>
      <x:c r="B188" s="120" t="str">
        <x:v>多</x:v>
      </x:c>
      <x:c r="C188" s="124" t="n">
        <x:v>45809</x:v>
      </x:c>
      <x:c r="D188" s="124" t="n">
        <x:v>45830</x:v>
      </x:c>
      <x:c r="E188" s="125" t="n">
        <x:v>104591.88</x:v>
      </x:c>
      <x:c r="F188" s="125" t="n">
        <x:v>102120.02</x:v>
      </x:c>
      <x:c r="G188" s="120" t="n">
        <x:v>21</x:v>
      </x:c>
      <x:c r="H188" s="125" t="n">
        <x:v>-256.0975001118634</x:v>
      </x:c>
      <x:c r="I188" s="126" t="n">
        <x:f>H188/'Data &amp; Targets'!$C$34</x:f>
        <x:v>-0.025609750011186337</x:v>
      </x:c>
      <x:c r="J188" s="126" t="n">
        <x:v>0.056775822367854945</x:v>
      </x:c>
      <x:c r="K188" s="120" t="str">
        <x:v>已平仓</x:v>
      </x:c>
      <x:c r="L188" s="120" t="str">
        <x:f>IF(K188="未平仓","浮盈未实现",IF(I188&gt;='Data &amp; Targets'!$C$31,"大收益交易",IF(I188&lt;0,"亏损","普通盈利")))</x:f>
        <x:v>亏损</x:v>
      </x:c>
      <x:c r="M188" s="120" t="str">
        <x:v>EMA52-300 cross</x:v>
      </x:c>
      <x:c r="N188" s="120" t="str">
        <x:v>rearm</x:v>
      </x:c>
    </x:row>
    <x:row r="189" ht="23" customHeight="1">
      <x:c r="A189" s="120" t="str">
        <x:v>状态补入原退出</x:v>
      </x:c>
      <x:c r="B189" s="120" t="str">
        <x:v>多</x:v>
      </x:c>
      <x:c r="C189" s="124" t="n">
        <x:v>45832</x:v>
      </x:c>
      <x:c r="D189" s="124" t="n">
        <x:v>45889</x:v>
      </x:c>
      <x:c r="E189" s="125" t="n">
        <x:v>105333.94</x:v>
      </x:c>
      <x:c r="F189" s="125" t="n">
        <x:v>112872.95</x:v>
      </x:c>
      <x:c r="G189" s="120" t="n">
        <x:v>57</x:v>
      </x:c>
      <x:c r="H189" s="125" t="n">
        <x:v>695.0089505813601</x:v>
      </x:c>
      <x:c r="I189" s="126" t="n">
        <x:f>H189/'Data &amp; Targets'!$C$34</x:f>
        <x:v>0.069500895058136</x:v>
      </x:c>
      <x:c r="J189" s="126" t="n">
        <x:v>0.18170838383146015</x:v>
      </x:c>
      <x:c r="K189" s="120" t="str">
        <x:v>已平仓</x:v>
      </x:c>
      <x:c r="L189" s="120" t="str">
        <x:f>IF(K189="未平仓","浮盈未实现",IF(I189&gt;='Data &amp; Targets'!$C$31,"大收益交易",IF(I189&lt;0,"亏损","普通盈利")))</x:f>
        <x:v>普通盈利</x:v>
      </x:c>
      <x:c r="M189" s="120" t="str">
        <x:v>EMA52-300 cross</x:v>
      </x:c>
      <x:c r="N189" s="120" t="str">
        <x:v>rearm</x:v>
      </x:c>
    </x:row>
    <x:row r="190" ht="23" customHeight="1">
      <x:c r="A190" s="120" t="str">
        <x:v>状态补入原退出</x:v>
      </x:c>
      <x:c r="B190" s="120" t="str">
        <x:v>多</x:v>
      </x:c>
      <x:c r="C190" s="124" t="n">
        <x:v>45892</x:v>
      </x:c>
      <x:c r="D190" s="124" t="n">
        <x:v>45894</x:v>
      </x:c>
      <x:c r="E190" s="125" t="n">
        <x:v>116936</x:v>
      </x:c>
      <x:c r="F190" s="125" t="n">
        <x:v>113493.59</x:v>
      </x:c>
      <x:c r="G190" s="120" t="n">
        <x:v>2</x:v>
      </x:c>
      <x:c r="H190" s="125" t="n">
        <x:v>-314.08972343846233</x:v>
      </x:c>
      <x:c r="I190" s="126" t="n">
        <x:f>H190/'Data &amp; Targets'!$C$34</x:f>
        <x:v>-0.03140897234384623</x:v>
      </x:c>
      <x:c r="J190" s="126" t="n">
        <x:v>0.000803858520900258</x:v>
      </x:c>
      <x:c r="K190" s="120" t="str">
        <x:v>已平仓</x:v>
      </x:c>
      <x:c r="L190" s="120" t="str">
        <x:f>IF(K190="未平仓","浮盈未实现",IF(I190&gt;='Data &amp; Targets'!$C$31,"大收益交易",IF(I190&lt;0,"亏损","普通盈利")))</x:f>
        <x:v>亏损</x:v>
      </x:c>
      <x:c r="M190" s="120" t="str">
        <x:v>EMA52-300 cross</x:v>
      </x:c>
      <x:c r="N190" s="120" t="str">
        <x:v>rearm</x:v>
      </x:c>
    </x:row>
    <x:row r="191" ht="23" customHeight="1">
      <x:c r="A191" s="120" t="str">
        <x:v>状态补入原退出</x:v>
      </x:c>
      <x:c r="B191" s="120" t="str">
        <x:v>多</x:v>
      </x:c>
      <x:c r="C191" s="124" t="n">
        <x:v>45919</x:v>
      </x:c>
      <x:c r="D191" s="124" t="n">
        <x:v>45923</x:v>
      </x:c>
      <x:c r="E191" s="125" t="n">
        <x:v>117073.53</x:v>
      </x:c>
      <x:c r="F191" s="125" t="n">
        <x:v>112650.99</x:v>
      </x:c>
      <x:c r="G191" s="120" t="n">
        <x:v>4</x:v>
      </x:c>
      <x:c r="H191" s="125" t="n">
        <x:v>-397.37970829101965</x:v>
      </x:c>
      <x:c r="I191" s="126" t="n">
        <x:f>H191/'Data &amp; Targets'!$C$34</x:f>
        <x:v>-0.039737970829101965</x:v>
      </x:c>
      <x:c r="J191" s="126" t="n">
        <x:v>0.0033010023700490443</x:v>
      </x:c>
      <x:c r="K191" s="120" t="str">
        <x:v>已平仓</x:v>
      </x:c>
      <x:c r="L191" s="120" t="str">
        <x:f>IF(K191="未平仓","浮盈未实现",IF(I191&gt;='Data &amp; Targets'!$C$31,"大收益交易",IF(I191&lt;0,"亏损","普通盈利")))</x:f>
        <x:v>亏损</x:v>
      </x:c>
      <x:c r="M191" s="120" t="str">
        <x:v>EMA52-300 cross</x:v>
      </x:c>
      <x:c r="N191" s="120" t="str">
        <x:v>rearm</x:v>
      </x:c>
    </x:row>
    <x:row r="192" ht="23" customHeight="1">
      <x:c r="A192" s="120" t="str">
        <x:v>状态补入原退出</x:v>
      </x:c>
      <x:c r="B192" s="120" t="str">
        <x:v>多</x:v>
      </x:c>
      <x:c r="C192" s="124" t="n">
        <x:v>45930</x:v>
      </x:c>
      <x:c r="D192" s="124" t="n">
        <x:v>45941</x:v>
      </x:c>
      <x:c r="E192" s="125" t="n">
        <x:v>114311.97</x:v>
      </x:c>
      <x:c r="F192" s="125" t="n">
        <x:v>112774.49</x:v>
      </x:c>
      <x:c r="G192" s="120" t="n">
        <x:v>11</x:v>
      </x:c>
      <x:c r="H192" s="125" t="n">
        <x:v>-154.36410202711016</x:v>
      </x:c>
      <x:c r="I192" s="126" t="n">
        <x:f>H192/'Data &amp; Targets'!$C$34</x:f>
        <x:v>-0.015436410202711016</x:v>
      </x:c>
      <x:c r="J192" s="126" t="n">
        <x:v>0.10399313387740584</x:v>
      </x:c>
      <x:c r="K192" s="120" t="str">
        <x:v>已平仓</x:v>
      </x:c>
      <x:c r="L192" s="120" t="str">
        <x:f>IF(K192="未平仓","浮盈未实现",IF(I192&gt;='Data &amp; Targets'!$C$31,"大收益交易",IF(I192&lt;0,"亏损","普通盈利")))</x:f>
        <x:v>亏损</x:v>
      </x:c>
      <x:c r="M192" s="120" t="str">
        <x:v>EMA52-300 cross</x:v>
      </x:c>
      <x:c r="N192" s="120" t="str">
        <x:v>rearm</x:v>
      </x:c>
    </x:row>
    <x:row r="193" ht="23" customHeight="1">
      <x:c r="A193" s="120" t="str">
        <x:v>状态补入原退出</x:v>
      </x:c>
      <x:c r="B193" s="120" t="str">
        <x:v>多</x:v>
      </x:c>
      <x:c r="C193" s="124" t="n">
        <x:v>46032</x:v>
      </x:c>
      <x:c r="D193" s="124" t="n">
        <x:v>46043</x:v>
      </x:c>
      <x:c r="E193" s="125" t="n">
        <x:v>90641.27</x:v>
      </x:c>
      <x:c r="F193" s="125" t="n">
        <x:v>88427.66</x:v>
      </x:c>
      <x:c r="G193" s="120" t="n">
        <x:v>11</x:v>
      </x:c>
      <x:c r="H193" s="125" t="n">
        <x:v>-263.97235277043234</x:v>
      </x:c>
      <x:c r="I193" s="126" t="n">
        <x:f>H193/'Data &amp; Targets'!$C$34</x:f>
        <x:v>-0.026397235277043234</x:v>
      </x:c>
      <x:c r="J193" s="126" t="n">
        <x:v>0.08035213981445753</x:v>
      </x:c>
      <x:c r="K193" s="120" t="str">
        <x:v>已平仓</x:v>
      </x:c>
      <x:c r="L193" s="120" t="str">
        <x:f>IF(K193="未平仓","浮盈未实现",IF(I193&gt;='Data &amp; Targets'!$C$31,"大收益交易",IF(I193&lt;0,"亏损","普通盈利")))</x:f>
        <x:v>亏损</x:v>
      </x:c>
      <x:c r="M193" s="120" t="str">
        <x:v>EMA52-300 cross</x:v>
      </x:c>
      <x:c r="N193" s="120" t="str">
        <x:v>rearm</x:v>
      </x:c>
    </x:row>
    <x:row r="194" ht="23" customHeight="1">
      <x:c r="A194" s="120" t="str">
        <x:v>状态补入原退出</x:v>
      </x:c>
      <x:c r="B194" s="120" t="str">
        <x:v>多</x:v>
      </x:c>
      <x:c r="C194" s="124" t="n">
        <x:v>46100</x:v>
      </x:c>
      <x:c r="D194" s="124" t="n">
        <x:v>46165</x:v>
      </x:c>
      <x:c r="E194" s="125" t="n">
        <x:v>71246.55</x:v>
      </x:c>
      <x:c r="F194" s="125" t="n">
        <x:v>75539.5</x:v>
      </x:c>
      <x:c r="G194" s="120" t="n">
        <x:v>65</x:v>
      </x:c>
      <x:c r="H194" s="125" t="n">
        <x:v>581.9459258027226</x:v>
      </x:c>
      <x:c r="I194" s="126" t="n">
        <x:f>H194/'Data &amp; Targets'!$C$34</x:f>
        <x:v>0.058194592580272264</x:v>
      </x:c>
      <x:c r="J194" s="126" t="n">
        <x:v>0.1628633246101039</x:v>
      </x:c>
      <x:c r="K194" s="120" t="str">
        <x:v>已平仓</x:v>
      </x:c>
      <x:c r="L194" s="120" t="str">
        <x:f>IF(K194="未平仓","浮盈未实现",IF(I194&gt;='Data &amp; Targets'!$C$31,"大收益交易",IF(I194&lt;0,"亏损","普通盈利")))</x:f>
        <x:v>普通盈利</x:v>
      </x:c>
      <x:c r="M194" s="120" t="str">
        <x:v>EMA52-300 cross</x:v>
      </x:c>
      <x:c r="N194" s="120" t="str">
        <x:v>rearm</x:v>
      </x:c>
    </x:row>
    <x:row r="195" ht="23" customHeight="1">
      <x:c r="A195" s="120" t="str">
        <x:v>状态补入原退出</x:v>
      </x:c>
      <x:c r="B195" s="120" t="str">
        <x:v>多</x:v>
      </x:c>
      <x:c r="C195" s="124" t="n">
        <x:v>46225</x:v>
      </x:c>
      <x:c r="D195" s="124" t="n">
        <x:v>46228</x:v>
      </x:c>
      <x:c r="E195" s="125" t="n">
        <x:v>66556.15</x:v>
      </x:c>
      <x:c r="F195" s="125" t="n">
        <x:v>64140</x:v>
      </x:c>
      <x:c r="G195" s="120" t="n">
        <x:v>3</x:v>
      </x:c>
      <x:c r="H195" s="125" t="n">
        <x:v>-382.66127923565205</x:v>
      </x:c>
      <x:c r="I195" s="126" t="n">
        <x:f>H195/'Data &amp; Targets'!$C$34</x:f>
        <x:v>-0.03826612792356521</x:v>
      </x:c>
      <x:c r="J195" s="126" t="n">
        <x:v>0.002760676511486926</x:v>
      </x:c>
      <x:c r="K195" s="120" t="str">
        <x:v>已平仓</x:v>
      </x:c>
      <x:c r="L195" s="120" t="str">
        <x:f>IF(K195="未平仓","浮盈未实现",IF(I195&gt;='Data &amp; Targets'!$C$31,"大收益交易",IF(I195&lt;0,"亏损","普通盈利")))</x:f>
        <x:v>亏损</x:v>
      </x:c>
      <x:c r="M195" s="120" t="str">
        <x:v>EMA52-300 cross</x:v>
      </x:c>
      <x:c r="N195" s="120" t="str">
        <x:v>rearm</x:v>
      </x:c>
    </x:row>
    <x:row r="196" ht="23" customHeight="1">
      <x:c r="A196" s="120" t="str">
        <x:v>状态补入原退出</x:v>
      </x:c>
      <x:c r="B196" s="120" t="str">
        <x:v>多</x:v>
      </x:c>
      <x:c r="C196" s="124" t="n">
        <x:v>46229</x:v>
      </x:c>
      <x:c r="D196" s="124" t="n">
        <x:v>46231</x:v>
      </x:c>
      <x:c r="E196" s="125" t="n">
        <x:v>64375.01</x:v>
      </x:c>
      <x:c r="F196" s="125" t="n">
        <x:v>63755.86</x:v>
      </x:c>
      <x:c r="G196" s="120" t="n">
        <x:v>2</x:v>
      </x:c>
      <x:c r="H196" s="125" t="n">
        <x:v>-116.08244721049385</x:v>
      </x:c>
      <x:c r="I196" s="126" t="n">
        <x:f>H196/'Data &amp; Targets'!$C$34</x:f>
        <x:v>-0.011608244721049385</x:v>
      </x:c>
      <x:c r="J196" s="126" t="n">
        <x:v>0.021275181161136913</x:v>
      </x:c>
      <x:c r="K196" s="120" t="str">
        <x:v>已平仓</x:v>
      </x:c>
      <x:c r="L196" s="120" t="str">
        <x:f>IF(K196="未平仓","浮盈未实现",IF(I196&gt;='Data &amp; Targets'!$C$31,"大收益交易",IF(I196&lt;0,"亏损","普通盈利")))</x:f>
        <x:v>亏损</x:v>
      </x:c>
      <x:c r="M196" s="120" t="str">
        <x:v>EMA52-300 cross</x:v>
      </x:c>
      <x:c r="N196" s="120" t="str">
        <x:v>rearm</x:v>
      </x:c>
    </x:row>
    <x:row r="197" ht="23" customHeight="1">
      <x:c r="A197" s="120" t="str">
        <x:v>状态补入原退出</x:v>
      </x:c>
      <x:c r="B197" s="120" t="str">
        <x:v>多</x:v>
      </x:c>
      <x:c r="C197" s="124" t="n">
        <x:v>46234</x:v>
      </x:c>
      <x:c r="D197" s="124" t="n">
        <x:v>46235</x:v>
      </x:c>
      <x:c r="E197" s="125" t="n">
        <x:v>64780.03</x:v>
      </x:c>
      <x:c r="F197" s="125" t="n">
        <x:v>62887.88</x:v>
      </x:c>
      <x:c r="G197" s="120" t="n">
        <x:v>1</x:v>
      </x:c>
      <x:c r="H197" s="125" t="n">
        <x:v>-311.79638385471594</x:v>
      </x:c>
      <x:c r="I197" s="126" t="n">
        <x:f>H197/'Data &amp; Targets'!$C$34</x:f>
        <x:v>-0.031179638385471595</x:v>
      </x:c>
      <x:c r="J197" s="126" t="n">
        <x:v>0.009717964008352453</x:v>
      </x:c>
      <x:c r="K197" s="120" t="str">
        <x:v>已平仓</x:v>
      </x:c>
      <x:c r="L197" s="120" t="str">
        <x:f>IF(K197="未平仓","浮盈未实现",IF(I197&gt;='Data &amp; Targets'!$C$31,"大收益交易",IF(I197&lt;0,"亏损","普通盈利")))</x:f>
        <x:v>亏损</x:v>
      </x:c>
      <x:c r="M197" s="120" t="str">
        <x:v>EMA52-300 cross</x:v>
      </x:c>
      <x:c r="N197" s="120" t="str">
        <x:v>rearm</x:v>
      </x:c>
    </x:row>
    <x:row r="198" ht="23" customHeight="1">
      <x:c r="A198" s="120" t="str">
        <x:v>状态补入原退出</x:v>
      </x:c>
      <x:c r="B198" s="120" t="str">
        <x:v>多</x:v>
      </x:c>
      <x:c r="C198" s="124" t="n">
        <x:v>46239</x:v>
      </x:c>
      <x:c r="D198" s="124" t="n">
        <x:v>46241</x:v>
      </x:c>
      <x:c r="E198" s="125" t="n">
        <x:v>64106.55</x:v>
      </x:c>
      <x:c r="F198" s="125" t="n">
        <x:v>64323.61</x:v>
      </x:c>
      <x:c r="G198" s="120" t="n">
        <x:v>2</x:v>
      </x:c>
      <x:c r="H198" s="125" t="n">
        <x:v>13.8253953769151</x:v>
      </x:c>
      <x:c r="I198" s="126" t="n">
        <x:f>H198/'Data &amp; Targets'!$C$34</x:f>
        <x:v>0.00138253953769151</x:v>
      </x:c>
      <x:c r="J198" s="126" t="n">
        <x:v>0.014330360938156872</x:v>
      </x:c>
      <x:c r="K198" s="120" t="str">
        <x:v>已平仓</x:v>
      </x:c>
      <x:c r="L198" s="120" t="str">
        <x:f>IF(K198="未平仓","浮盈未实现",IF(I198&gt;='Data &amp; Targets'!$C$31,"大收益交易",IF(I198&lt;0,"亏损","普通盈利")))</x:f>
        <x:v>普通盈利</x:v>
      </x:c>
      <x:c r="M198" s="120" t="str">
        <x:v>EMA52-300 cross</x:v>
      </x:c>
      <x:c r="N198" s="120" t="str">
        <x:v>rearm</x:v>
      </x:c>
    </x:row>
    <x:row r="199" ht="23" customHeight="1">
      <x:c r="A199" s="120" t="str">
        <x:v>状态补入原退出</x:v>
      </x:c>
      <x:c r="B199" s="120" t="str">
        <x:v>多</x:v>
      </x:c>
      <x:c r="C199" s="124" t="n">
        <x:v>46252</x:v>
      </x:c>
      <x:c r="D199" s="124"/>
      <x:c r="E199" s="125" t="n">
        <x:v>64532.11</x:v>
      </x:c>
      <x:c r="F199" s="125" t="n">
        <x:v>80341.83</x:v>
      </x:c>
      <x:c r="G199" s="120" t="n">
        <x:v>19</x:v>
      </x:c>
      <x:c r="H199" s="125" t="n">
        <x:v>2439.899747583025</x:v>
      </x:c>
      <x:c r="I199" s="126" t="n">
        <x:f>H199/'Data &amp; Targets'!$C$34</x:f>
        <x:v>0.2439899747583025</x:v>
      </x:c>
      <x:c r="J199" s="126"/>
      <x:c r="K199" s="120" t="str">
        <x:v>未平仓</x:v>
      </x:c>
      <x:c r="L199" s="120" t="str">
        <x:f>IF(K199="未平仓","浮盈未实现",IF(I199&gt;='Data &amp; Targets'!$C$31,"大收益交易",IF(I199&lt;0,"亏损","普通盈利")))</x:f>
        <x:v>浮盈未实现</x:v>
      </x:c>
      <x:c r="M199" s="120" t="str">
        <x:v>期末按收盘估值；仅扣已付开仓费</x:v>
      </x:c>
      <x:c r="N199" s="120" t="str">
        <x:v>rearm</x:v>
      </x:c>
    </x:row>
    <x:row r="200" ht="23" customHeight="1">
      <x:c r="A200" s="120" t="str">
        <x:v>EMA25去4h过滤</x:v>
      </x:c>
      <x:c r="B200" s="120" t="str">
        <x:v>多</x:v>
      </x:c>
      <x:c r="C200" s="124" t="n">
        <x:v>45372</x:v>
      </x:c>
      <x:c r="D200" s="124" t="n">
        <x:v>45396</x:v>
      </x:c>
      <x:c r="E200" s="125" t="n">
        <x:v>67840.51</x:v>
      </x:c>
      <x:c r="F200" s="125" t="n">
        <x:v>63924.52</x:v>
      </x:c>
      <x:c r="G200" s="120" t="n">
        <x:v>24</x:v>
      </x:c>
      <x:c r="H200" s="125" t="n">
        <x:v>-596.6575177574576</x:v>
      </x:c>
      <x:c r="I200" s="126" t="n">
        <x:f>H200/'Data &amp; Targets'!$C$34</x:f>
        <x:v>-0.05966575177574576</x:v>
      </x:c>
      <x:c r="J200" s="126" t="n">
        <x:v>0.07307551196180584</x:v>
      </x:c>
      <x:c r="K200" s="120" t="str">
        <x:v>已平仓</x:v>
      </x:c>
      <x:c r="L200" s="120" t="str">
        <x:f>IF(K200="未平仓","浮盈未实现",IF(I200&gt;='Data &amp; Targets'!$C$31,"大收益交易",IF(I200&lt;0,"亏损","普通盈利")))</x:f>
        <x:v>亏损</x:v>
      </x:c>
      <x:c r="M200" s="120" t="str">
        <x:v>EMA52-300 cross</x:v>
      </x:c>
      <x:c r="N200" s="120" t="str">
        <x:v>no4h</x:v>
      </x:c>
    </x:row>
    <x:row r="201" ht="23" customHeight="1">
      <x:c r="A201" s="120" t="str">
        <x:v>EMA25去4h过滤</x:v>
      </x:c>
      <x:c r="B201" s="120" t="str">
        <x:v>多</x:v>
      </x:c>
      <x:c r="C201" s="124" t="n">
        <x:v>45405</x:v>
      </x:c>
      <x:c r="D201" s="124" t="n">
        <x:v>45409</x:v>
      </x:c>
      <x:c r="E201" s="125" t="n">
        <x:v>66819.32</x:v>
      </x:c>
      <x:c r="F201" s="125" t="n">
        <x:v>63770</x:v>
      </x:c>
      <x:c r="G201" s="120" t="n">
        <x:v>4</x:v>
      </x:c>
      <x:c r="H201" s="125" t="n">
        <x:v>-475.896689759789</x:v>
      </x:c>
      <x:c r="I201" s="126" t="n">
        <x:f>H201/'Data &amp; Targets'!$C$34</x:f>
        <x:v>-0.047589668975978903</x:v>
      </x:c>
      <x:c r="J201" s="126" t="n">
        <x:v>0.005442886877627506</x:v>
      </x:c>
      <x:c r="K201" s="120" t="str">
        <x:v>已平仓</x:v>
      </x:c>
      <x:c r="L201" s="120" t="str">
        <x:f>IF(K201="未平仓","浮盈未实现",IF(I201&gt;='Data &amp; Targets'!$C$31,"大收益交易",IF(I201&lt;0,"亏损","普通盈利")))</x:f>
        <x:v>亏损</x:v>
      </x:c>
      <x:c r="M201" s="120" t="str">
        <x:v>EMA52-300 cross</x:v>
      </x:c>
      <x:c r="N201" s="120" t="str">
        <x:v>no4h</x:v>
      </x:c>
    </x:row>
    <x:row r="202" ht="23" customHeight="1">
      <x:c r="A202" s="120" t="str">
        <x:v>EMA25去4h过滤</x:v>
      </x:c>
      <x:c r="B202" s="120" t="str">
        <x:v>多</x:v>
      </x:c>
      <x:c r="C202" s="124" t="n">
        <x:v>45506</x:v>
      </x:c>
      <x:c r="D202" s="124" t="n">
        <x:v>45507</x:v>
      </x:c>
      <x:c r="E202" s="125" t="n">
        <x:v>65354.02</x:v>
      </x:c>
      <x:c r="F202" s="125" t="n">
        <x:v>61498.34</x:v>
      </x:c>
      <x:c r="G202" s="120" t="n">
        <x:v>1</x:v>
      </x:c>
      <x:c r="H202" s="125" t="n">
        <x:v>-609.378330514328</x:v>
      </x:c>
      <x:c r="I202" s="126" t="n">
        <x:f>H202/'Data &amp; Targets'!$C$34</x:f>
        <x:v>-0.0609378330514328</x:v>
      </x:c>
      <x:c r="J202" s="126" t="n">
        <x:v>0.00370474532400622</x:v>
      </x:c>
      <x:c r="K202" s="120" t="str">
        <x:v>已平仓</x:v>
      </x:c>
      <x:c r="L202" s="120" t="str">
        <x:f>IF(K202="未平仓","浮盈未实现",IF(I202&gt;='Data &amp; Targets'!$C$31,"大收益交易",IF(I202&lt;0,"亏损","普通盈利")))</x:f>
        <x:v>亏损</x:v>
      </x:c>
      <x:c r="M202" s="120" t="str">
        <x:v>EMA52-300 cross</x:v>
      </x:c>
      <x:c r="N202" s="120" t="str">
        <x:v>no4h</x:v>
      </x:c>
    </x:row>
    <x:row r="203" ht="23" customHeight="1">
      <x:c r="A203" s="120" t="str">
        <x:v>EMA25去4h过滤</x:v>
      </x:c>
      <x:c r="B203" s="120" t="str">
        <x:v>多</x:v>
      </x:c>
      <x:c r="C203" s="124" t="n">
        <x:v>45570</x:v>
      </x:c>
      <x:c r="D203" s="124" t="n">
        <x:v>45575</x:v>
      </x:c>
      <x:c r="E203" s="125" t="n">
        <x:v>62086</x:v>
      </x:c>
      <x:c r="F203" s="125" t="n">
        <x:v>60636.01</x:v>
      </x:c>
      <x:c r="G203" s="120" t="n">
        <x:v>5</x:v>
      </x:c>
      <x:c r="H203" s="125" t="n">
        <x:v>-253.3118593563763</x:v>
      </x:c>
      <x:c r="I203" s="126" t="n">
        <x:f>H203/'Data &amp; Targets'!$C$34</x:f>
        <x:v>-0.02533118593563763</x:v>
      </x:c>
      <x:c r="J203" s="126" t="n">
        <x:v>0.0385302644718617</x:v>
      </x:c>
      <x:c r="K203" s="120" t="str">
        <x:v>已平仓</x:v>
      </x:c>
      <x:c r="L203" s="120" t="str">
        <x:f>IF(K203="未平仓","浮盈未实现",IF(I203&gt;='Data &amp; Targets'!$C$31,"大收益交易",IF(I203&lt;0,"亏损","普通盈利")))</x:f>
        <x:v>亏损</x:v>
      </x:c>
      <x:c r="M203" s="120" t="str">
        <x:v>EMA52-300 cross</x:v>
      </x:c>
      <x:c r="N203" s="120" t="str">
        <x:v>no4h</x:v>
      </x:c>
    </x:row>
    <x:row r="204" ht="23" customHeight="1">
      <x:c r="A204" s="120" t="str">
        <x:v>EMA25去4h过滤</x:v>
      </x:c>
      <x:c r="B204" s="120" t="str">
        <x:v>多</x:v>
      </x:c>
      <x:c r="C204" s="124" t="n">
        <x:v>45577</x:v>
      </x:c>
      <x:c r="D204" s="124" t="n">
        <x:v>45667</x:v>
      </x:c>
      <x:c r="E204" s="125" t="n">
        <x:v>62539.99</x:v>
      </x:c>
      <x:c r="F204" s="125" t="n">
        <x:v>92552.49</x:v>
      </x:c>
      <x:c r="G204" s="120" t="n">
        <x:v>90</x:v>
      </x:c>
      <x:c r="H204" s="125" t="n">
        <x:v>4774.130523525829</x:v>
      </x:c>
      <x:c r="I204" s="126" t="n">
        <x:f>H204/'Data &amp; Targets'!$C$34</x:f>
        <x:v>0.47741305235258286</x:v>
      </x:c>
      <x:c r="J204" s="126" t="n">
        <x:v>0.7325394519570598</x:v>
      </x:c>
      <x:c r="K204" s="120" t="str">
        <x:v>已平仓</x:v>
      </x:c>
      <x:c r="L204" s="120" t="str">
        <x:f>IF(K204="未平仓","浮盈未实现",IF(I204&gt;='Data &amp; Targets'!$C$31,"大收益交易",IF(I204&lt;0,"亏损","普通盈利")))</x:f>
        <x:v>大收益交易</x:v>
      </x:c>
      <x:c r="M204" s="120" t="str">
        <x:v>EMA52-300 cross</x:v>
      </x:c>
      <x:c r="N204" s="120" t="str">
        <x:v>no4h</x:v>
      </x:c>
    </x:row>
    <x:row r="205" ht="23" customHeight="1">
      <x:c r="A205" s="120" t="str">
        <x:v>EMA25去4h过滤</x:v>
      </x:c>
      <x:c r="B205" s="120" t="str">
        <x:v>多</x:v>
      </x:c>
      <x:c r="C205" s="124" t="n">
        <x:v>45672</x:v>
      </x:c>
      <x:c r="D205" s="124" t="n">
        <x:v>45691</x:v>
      </x:c>
      <x:c r="E205" s="125" t="n">
        <x:v>96560.85</x:v>
      </x:c>
      <x:c r="F205" s="125" t="n">
        <x:v>97700.59</x:v>
      </x:c>
      <x:c r="G205" s="120" t="n">
        <x:v>19</x:v>
      </x:c>
      <x:c r="H205" s="125" t="n">
        <x:v>97.91531039753592</x:v>
      </x:c>
      <x:c r="I205" s="126" t="n">
        <x:f>H205/'Data &amp; Targets'!$C$34</x:f>
        <x:v>0.009791531039753592</x:v>
      </x:c>
      <x:c r="J205" s="126" t="n">
        <x:v>0.13491130204425494</x:v>
      </x:c>
      <x:c r="K205" s="120" t="str">
        <x:v>已平仓</x:v>
      </x:c>
      <x:c r="L205" s="120" t="str">
        <x:f>IF(K205="未平仓","浮盈未实现",IF(I205&gt;='Data &amp; Targets'!$C$31,"大收益交易",IF(I205&lt;0,"亏损","普通盈利")))</x:f>
        <x:v>普通盈利</x:v>
      </x:c>
      <x:c r="M205" s="120" t="str">
        <x:v>EMA52-300 cross</x:v>
      </x:c>
      <x:c r="N205" s="120" t="str">
        <x:v>no4h</x:v>
      </x:c>
    </x:row>
    <x:row r="206" ht="23" customHeight="1">
      <x:c r="A206" s="120" t="str">
        <x:v>EMA25去4h过滤</x:v>
      </x:c>
      <x:c r="B206" s="120" t="str">
        <x:v>多</x:v>
      </x:c>
      <x:c r="C206" s="124" t="n">
        <x:v>45692</x:v>
      </x:c>
      <x:c r="D206" s="124" t="n">
        <x:v>45693</x:v>
      </x:c>
      <x:c r="E206" s="125" t="n">
        <x:v>101328.51</x:v>
      </x:c>
      <x:c r="F206" s="125" t="n">
        <x:v>97763.14</x:v>
      </x:c>
      <x:c r="G206" s="120" t="n">
        <x:v>1</x:v>
      </x:c>
      <x:c r="H206" s="125" t="n">
        <x:v>-371.5106094030195</x:v>
      </x:c>
      <x:c r="I206" s="126" t="n">
        <x:f>H206/'Data &amp; Targets'!$C$34</x:f>
        <x:v>-0.03715106094030195</x:v>
      </x:c>
      <x:c r="J206" s="126" t="n">
        <x:v>0.0039850581045748346</x:v>
      </x:c>
      <x:c r="K206" s="120" t="str">
        <x:v>已平仓</x:v>
      </x:c>
      <x:c r="L206" s="120" t="str">
        <x:f>IF(K206="未平仓","浮盈未实现",IF(I206&gt;='Data &amp; Targets'!$C$31,"大收益交易",IF(I206&lt;0,"亏损","普通盈利")))</x:f>
        <x:v>亏损</x:v>
      </x:c>
      <x:c r="M206" s="120" t="str">
        <x:v>EMA52-300 cross</x:v>
      </x:c>
      <x:c r="N206" s="120" t="str">
        <x:v>no4h</x:v>
      </x:c>
    </x:row>
    <x:row r="207" ht="23" customHeight="1">
      <x:c r="A207" s="120" t="str">
        <x:v>EMA25去4h过滤</x:v>
      </x:c>
      <x:c r="B207" s="120" t="str">
        <x:v>多</x:v>
      </x:c>
      <x:c r="C207" s="124" t="n">
        <x:v>45809</x:v>
      </x:c>
      <x:c r="D207" s="124" t="n">
        <x:v>45830</x:v>
      </x:c>
      <x:c r="E207" s="125" t="n">
        <x:v>104591.88</x:v>
      </x:c>
      <x:c r="F207" s="125" t="n">
        <x:v>102120.02</x:v>
      </x:c>
      <x:c r="G207" s="120" t="n">
        <x:v>21</x:v>
      </x:c>
      <x:c r="H207" s="125" t="n">
        <x:v>-256.0975001118634</x:v>
      </x:c>
      <x:c r="I207" s="126" t="n">
        <x:f>H207/'Data &amp; Targets'!$C$34</x:f>
        <x:v>-0.025609750011186337</x:v>
      </x:c>
      <x:c r="J207" s="126" t="n">
        <x:v>0.056775822367854945</x:v>
      </x:c>
      <x:c r="K207" s="120" t="str">
        <x:v>已平仓</x:v>
      </x:c>
      <x:c r="L207" s="120" t="str">
        <x:f>IF(K207="未平仓","浮盈未实现",IF(I207&gt;='Data &amp; Targets'!$C$31,"大收益交易",IF(I207&lt;0,"亏损","普通盈利")))</x:f>
        <x:v>亏损</x:v>
      </x:c>
      <x:c r="M207" s="120" t="str">
        <x:v>EMA52-300 cross</x:v>
      </x:c>
      <x:c r="N207" s="120" t="str">
        <x:v>no4h</x:v>
      </x:c>
    </x:row>
    <x:row r="208" ht="23" customHeight="1">
      <x:c r="A208" s="120" t="str">
        <x:v>EMA25去4h过滤</x:v>
      </x:c>
      <x:c r="B208" s="120" t="str">
        <x:v>多</x:v>
      </x:c>
      <x:c r="C208" s="124" t="n">
        <x:v>45832</x:v>
      </x:c>
      <x:c r="D208" s="124" t="n">
        <x:v>45889</x:v>
      </x:c>
      <x:c r="E208" s="125" t="n">
        <x:v>105333.94</x:v>
      </x:c>
      <x:c r="F208" s="125" t="n">
        <x:v>112872.95</x:v>
      </x:c>
      <x:c r="G208" s="120" t="n">
        <x:v>57</x:v>
      </x:c>
      <x:c r="H208" s="125" t="n">
        <x:v>695.0089505813601</x:v>
      </x:c>
      <x:c r="I208" s="126" t="n">
        <x:f>H208/'Data &amp; Targets'!$C$34</x:f>
        <x:v>0.069500895058136</x:v>
      </x:c>
      <x:c r="J208" s="126" t="n">
        <x:v>0.18170838383146015</x:v>
      </x:c>
      <x:c r="K208" s="120" t="str">
        <x:v>已平仓</x:v>
      </x:c>
      <x:c r="L208" s="120" t="str">
        <x:f>IF(K208="未平仓","浮盈未实现",IF(I208&gt;='Data &amp; Targets'!$C$31,"大收益交易",IF(I208&lt;0,"亏损","普通盈利")))</x:f>
        <x:v>普通盈利</x:v>
      </x:c>
      <x:c r="M208" s="120" t="str">
        <x:v>EMA52-300 cross</x:v>
      </x:c>
      <x:c r="N208" s="120" t="str">
        <x:v>no4h</x:v>
      </x:c>
    </x:row>
    <x:row r="209" ht="23" customHeight="1">
      <x:c r="A209" s="120" t="str">
        <x:v>EMA25去4h过滤</x:v>
      </x:c>
      <x:c r="B209" s="120" t="str">
        <x:v>多</x:v>
      </x:c>
      <x:c r="C209" s="124" t="n">
        <x:v>45892</x:v>
      </x:c>
      <x:c r="D209" s="124" t="n">
        <x:v>45894</x:v>
      </x:c>
      <x:c r="E209" s="125" t="n">
        <x:v>116936</x:v>
      </x:c>
      <x:c r="F209" s="125" t="n">
        <x:v>113493.59</x:v>
      </x:c>
      <x:c r="G209" s="120" t="n">
        <x:v>2</x:v>
      </x:c>
      <x:c r="H209" s="125" t="n">
        <x:v>-314.08972343846233</x:v>
      </x:c>
      <x:c r="I209" s="126" t="n">
        <x:f>H209/'Data &amp; Targets'!$C$34</x:f>
        <x:v>-0.03140897234384623</x:v>
      </x:c>
      <x:c r="J209" s="126" t="n">
        <x:v>0.000803858520900258</x:v>
      </x:c>
      <x:c r="K209" s="120" t="str">
        <x:v>已平仓</x:v>
      </x:c>
      <x:c r="L209" s="120" t="str">
        <x:f>IF(K209="未平仓","浮盈未实现",IF(I209&gt;='Data &amp; Targets'!$C$31,"大收益交易",IF(I209&lt;0,"亏损","普通盈利")))</x:f>
        <x:v>亏损</x:v>
      </x:c>
      <x:c r="M209" s="120" t="str">
        <x:v>EMA52-300 cross</x:v>
      </x:c>
      <x:c r="N209" s="120" t="str">
        <x:v>no4h</x:v>
      </x:c>
    </x:row>
    <x:row r="210" ht="23" customHeight="1">
      <x:c r="A210" s="120" t="str">
        <x:v>EMA25去4h过滤</x:v>
      </x:c>
      <x:c r="B210" s="120" t="str">
        <x:v>多</x:v>
      </x:c>
      <x:c r="C210" s="124" t="n">
        <x:v>45930</x:v>
      </x:c>
      <x:c r="D210" s="124" t="n">
        <x:v>45941</x:v>
      </x:c>
      <x:c r="E210" s="125" t="n">
        <x:v>114311.97</x:v>
      </x:c>
      <x:c r="F210" s="125" t="n">
        <x:v>112774.49</x:v>
      </x:c>
      <x:c r="G210" s="120" t="n">
        <x:v>11</x:v>
      </x:c>
      <x:c r="H210" s="125" t="n">
        <x:v>-154.36410202711016</x:v>
      </x:c>
      <x:c r="I210" s="126" t="n">
        <x:f>H210/'Data &amp; Targets'!$C$34</x:f>
        <x:v>-0.015436410202711016</x:v>
      </x:c>
      <x:c r="J210" s="126" t="n">
        <x:v>0.10399313387740584</x:v>
      </x:c>
      <x:c r="K210" s="120" t="str">
        <x:v>已平仓</x:v>
      </x:c>
      <x:c r="L210" s="120" t="str">
        <x:f>IF(K210="未平仓","浮盈未实现",IF(I210&gt;='Data &amp; Targets'!$C$31,"大收益交易",IF(I210&lt;0,"亏损","普通盈利")))</x:f>
        <x:v>亏损</x:v>
      </x:c>
      <x:c r="M210" s="120" t="str">
        <x:v>EMA52-300 cross</x:v>
      </x:c>
      <x:c r="N210" s="120" t="str">
        <x:v>no4h</x:v>
      </x:c>
    </x:row>
    <x:row r="211" ht="23" customHeight="1">
      <x:c r="A211" s="120" t="str">
        <x:v>EMA25去4h过滤</x:v>
      </x:c>
      <x:c r="B211" s="120" t="str">
        <x:v>多</x:v>
      </x:c>
      <x:c r="C211" s="124" t="n">
        <x:v>46105</x:v>
      </x:c>
      <x:c r="D211" s="124" t="n">
        <x:v>46165</x:v>
      </x:c>
      <x:c r="E211" s="125" t="n">
        <x:v>70906.45</x:v>
      </x:c>
      <x:c r="F211" s="125" t="n">
        <x:v>75539.5</x:v>
      </x:c>
      <x:c r="G211" s="120" t="n">
        <x:v>60</x:v>
      </x:c>
      <x:c r="H211" s="125" t="n">
        <x:v>632.7497780526317</x:v>
      </x:c>
      <x:c r="I211" s="126" t="n">
        <x:f>H211/'Data &amp; Targets'!$C$34</x:f>
        <x:v>0.06327497780526317</x:v>
      </x:c>
      <x:c r="J211" s="126" t="n">
        <x:v>0.16844095283292293</x:v>
      </x:c>
      <x:c r="K211" s="120" t="str">
        <x:v>已平仓</x:v>
      </x:c>
      <x:c r="L211" s="120" t="str">
        <x:f>IF(K211="未平仓","浮盈未实现",IF(I211&gt;='Data &amp; Targets'!$C$31,"大收益交易",IF(I211&lt;0,"亏损","普通盈利")))</x:f>
        <x:v>普通盈利</x:v>
      </x:c>
      <x:c r="M211" s="120" t="str">
        <x:v>EMA52-300 cross</x:v>
      </x:c>
      <x:c r="N211" s="120" t="str">
        <x:v>no4h</x:v>
      </x:c>
    </x:row>
    <x:row r="212" ht="23" customHeight="1">
      <x:c r="A212" s="120" t="str">
        <x:v>EMA25去4h过滤</x:v>
      </x:c>
      <x:c r="B212" s="120" t="str">
        <x:v>多</x:v>
      </x:c>
      <x:c r="C212" s="124" t="n">
        <x:v>46229</x:v>
      </x:c>
      <x:c r="D212" s="124" t="n">
        <x:v>46231</x:v>
      </x:c>
      <x:c r="E212" s="125" t="n">
        <x:v>64375.01</x:v>
      </x:c>
      <x:c r="F212" s="125" t="n">
        <x:v>63755.86</x:v>
      </x:c>
      <x:c r="G212" s="120" t="n">
        <x:v>2</x:v>
      </x:c>
      <x:c r="H212" s="125" t="n">
        <x:v>-116.08244721049385</x:v>
      </x:c>
      <x:c r="I212" s="126" t="n">
        <x:f>H212/'Data &amp; Targets'!$C$34</x:f>
        <x:v>-0.011608244721049385</x:v>
      </x:c>
      <x:c r="J212" s="126" t="n">
        <x:v>0.021275181161136913</x:v>
      </x:c>
      <x:c r="K212" s="120" t="str">
        <x:v>已平仓</x:v>
      </x:c>
      <x:c r="L212" s="120" t="str">
        <x:f>IF(K212="未平仓","浮盈未实现",IF(I212&gt;='Data &amp; Targets'!$C$31,"大收益交易",IF(I212&lt;0,"亏损","普通盈利")))</x:f>
        <x:v>亏损</x:v>
      </x:c>
      <x:c r="M212" s="120" t="str">
        <x:v>EMA52-300 cross</x:v>
      </x:c>
      <x:c r="N212" s="120" t="str">
        <x:v>no4h</x:v>
      </x:c>
    </x:row>
    <x:row r="213" ht="23" customHeight="1">
      <x:c r="A213" s="120" t="str">
        <x:v>EMA25去4h过滤</x:v>
      </x:c>
      <x:c r="B213" s="120" t="str">
        <x:v>多</x:v>
      </x:c>
      <x:c r="C213" s="124" t="n">
        <x:v>46234</x:v>
      </x:c>
      <x:c r="D213" s="124" t="n">
        <x:v>46235</x:v>
      </x:c>
      <x:c r="E213" s="125" t="n">
        <x:v>64780.03</x:v>
      </x:c>
      <x:c r="F213" s="125" t="n">
        <x:v>62887.88</x:v>
      </x:c>
      <x:c r="G213" s="120" t="n">
        <x:v>1</x:v>
      </x:c>
      <x:c r="H213" s="125" t="n">
        <x:v>-311.79638385471594</x:v>
      </x:c>
      <x:c r="I213" s="126" t="n">
        <x:f>H213/'Data &amp; Targets'!$C$34</x:f>
        <x:v>-0.031179638385471595</x:v>
      </x:c>
      <x:c r="J213" s="126" t="n">
        <x:v>0.009717964008352453</x:v>
      </x:c>
      <x:c r="K213" s="120" t="str">
        <x:v>已平仓</x:v>
      </x:c>
      <x:c r="L213" s="120" t="str">
        <x:f>IF(K213="未平仓","浮盈未实现",IF(I213&gt;='Data &amp; Targets'!$C$31,"大收益交易",IF(I213&lt;0,"亏损","普通盈利")))</x:f>
        <x:v>亏损</x:v>
      </x:c>
      <x:c r="M213" s="120" t="str">
        <x:v>EMA52-300 cross</x:v>
      </x:c>
      <x:c r="N213" s="120" t="str">
        <x:v>no4h</x:v>
      </x:c>
    </x:row>
    <x:row r="214" ht="23" customHeight="1">
      <x:c r="A214" s="120" t="str">
        <x:v>EMA25去4h过滤</x:v>
      </x:c>
      <x:c r="B214" s="120" t="str">
        <x:v>多</x:v>
      </x:c>
      <x:c r="C214" s="124" t="n">
        <x:v>46239</x:v>
      </x:c>
      <x:c r="D214" s="124" t="n">
        <x:v>46241</x:v>
      </x:c>
      <x:c r="E214" s="125" t="n">
        <x:v>64106.55</x:v>
      </x:c>
      <x:c r="F214" s="125" t="n">
        <x:v>64323.61</x:v>
      </x:c>
      <x:c r="G214" s="120" t="n">
        <x:v>2</x:v>
      </x:c>
      <x:c r="H214" s="125" t="n">
        <x:v>13.8253953769151</x:v>
      </x:c>
      <x:c r="I214" s="126" t="n">
        <x:f>H214/'Data &amp; Targets'!$C$34</x:f>
        <x:v>0.00138253953769151</x:v>
      </x:c>
      <x:c r="J214" s="126" t="n">
        <x:v>0.014330360938156872</x:v>
      </x:c>
      <x:c r="K214" s="120" t="str">
        <x:v>已平仓</x:v>
      </x:c>
      <x:c r="L214" s="120" t="str">
        <x:f>IF(K214="未平仓","浮盈未实现",IF(I214&gt;='Data &amp; Targets'!$C$31,"大收益交易",IF(I214&lt;0,"亏损","普通盈利")))</x:f>
        <x:v>普通盈利</x:v>
      </x:c>
      <x:c r="M214" s="120" t="str">
        <x:v>EMA52-300 cross</x:v>
      </x:c>
      <x:c r="N214" s="120" t="str">
        <x:v>no4h</x:v>
      </x:c>
    </x:row>
    <x:row r="215" ht="23" customHeight="1">
      <x:c r="A215" s="120" t="str">
        <x:v>EMA25去4h过滤</x:v>
      </x:c>
      <x:c r="B215" s="120" t="str">
        <x:v>多</x:v>
      </x:c>
      <x:c r="C215" s="124" t="n">
        <x:v>46252</x:v>
      </x:c>
      <x:c r="D215" s="124"/>
      <x:c r="E215" s="125" t="n">
        <x:v>64532.11</x:v>
      </x:c>
      <x:c r="F215" s="125" t="n">
        <x:v>80341.83</x:v>
      </x:c>
      <x:c r="G215" s="120" t="n">
        <x:v>19</x:v>
      </x:c>
      <x:c r="H215" s="125" t="n">
        <x:v>2439.899747583025</x:v>
      </x:c>
      <x:c r="I215" s="126" t="n">
        <x:f>H215/'Data &amp; Targets'!$C$34</x:f>
        <x:v>0.2439899747583025</x:v>
      </x:c>
      <x:c r="J215" s="126"/>
      <x:c r="K215" s="120" t="str">
        <x:v>未平仓</x:v>
      </x:c>
      <x:c r="L215" s="120" t="str">
        <x:f>IF(K215="未平仓","浮盈未实现",IF(I215&gt;='Data &amp; Targets'!$C$31,"大收益交易",IF(I215&lt;0,"亏损","普通盈利")))</x:f>
        <x:v>浮盈未实现</x:v>
      </x:c>
      <x:c r="M215" s="120" t="str">
        <x:v>期末按收盘估值；仅扣已付开仓费</x:v>
      </x:c>
      <x:c r="N215" s="120" t="str">
        <x:v>no4h</x:v>
      </x:c>
    </x:row>
    <x:row r="216" ht="23" customHeight="1">
      <x:c r="A216" s="120" t="str">
        <x:v>状态补入纯52</x:v>
      </x:c>
      <x:c r="B216" s="120" t="str">
        <x:v>多</x:v>
      </x:c>
      <x:c r="C216" s="124" t="n">
        <x:v>45330</x:v>
      </x:c>
      <x:c r="D216" s="124" t="n">
        <x:v>45396</x:v>
      </x:c>
      <x:c r="E216" s="125" t="n">
        <x:v>44349.6</x:v>
      </x:c>
      <x:c r="F216" s="125" t="n">
        <x:v>63924.52</x:v>
      </x:c>
      <x:c r="G216" s="120" t="n">
        <x:v>66</x:v>
      </x:c>
      <x:c r="H216" s="125" t="n">
        <x:v>4389.362221981709</x:v>
      </x:c>
      <x:c r="I216" s="126" t="n">
        <x:f>H216/'Data &amp; Targets'!$C$34</x:f>
        <x:v>0.4389362221981709</x:v>
      </x:c>
      <x:c r="J216" s="126" t="n">
        <x:v>0.6635324783087109</x:v>
      </x:c>
      <x:c r="K216" s="120" t="str">
        <x:v>已平仓</x:v>
      </x:c>
      <x:c r="L216" s="120" t="str">
        <x:f>IF(K216="未平仓","浮盈未实现",IF(I216&gt;='Data &amp; Targets'!$C$31,"大收益交易",IF(I216&lt;0,"亏损","普通盈利")))</x:f>
        <x:v>大收益交易</x:v>
      </x:c>
      <x:c r="M216" s="120" t="str">
        <x:v>EMA52 level</x:v>
      </x:c>
      <x:c r="N216" s="120" t="str">
        <x:v>rearm_pure52</x:v>
      </x:c>
    </x:row>
    <x:row r="217" ht="23" customHeight="1">
      <x:c r="A217" s="120" t="str">
        <x:v>状态补入纯52</x:v>
      </x:c>
      <x:c r="B217" s="120" t="str">
        <x:v>多</x:v>
      </x:c>
      <x:c r="C217" s="124" t="n">
        <x:v>45405</x:v>
      </x:c>
      <x:c r="D217" s="124" t="n">
        <x:v>45407</x:v>
      </x:c>
      <x:c r="E217" s="125" t="n">
        <x:v>66819.32</x:v>
      </x:c>
      <x:c r="F217" s="125" t="n">
        <x:v>64289.58</x:v>
      </x:c>
      <x:c r="G217" s="120" t="n">
        <x:v>2</x:v>
      </x:c>
      <x:c r="H217" s="125" t="n">
        <x:v>-398.21550114547784</x:v>
      </x:c>
      <x:c r="I217" s="126" t="n">
        <x:f>H217/'Data &amp; Targets'!$C$34</x:f>
        <x:v>-0.039821550114547785</x:v>
      </x:c>
      <x:c r="J217" s="126" t="n">
        <x:v>0.005442886877627506</x:v>
      </x:c>
      <x:c r="K217" s="120" t="str">
        <x:v>已平仓</x:v>
      </x:c>
      <x:c r="L217" s="120" t="str">
        <x:f>IF(K217="未平仓","浮盈未实现",IF(I217&gt;='Data &amp; Targets'!$C$31,"大收益交易",IF(I217&lt;0,"亏损","普通盈利")))</x:f>
        <x:v>亏损</x:v>
      </x:c>
      <x:c r="M217" s="120" t="str">
        <x:v>EMA52 level</x:v>
      </x:c>
      <x:c r="N217" s="120" t="str">
        <x:v>rearm_pure52</x:v>
      </x:c>
    </x:row>
    <x:row r="218" ht="23" customHeight="1">
      <x:c r="A218" s="120" t="str">
        <x:v>状态补入纯52</x:v>
      </x:c>
      <x:c r="B218" s="120" t="str">
        <x:v>多</x:v>
      </x:c>
      <x:c r="C218" s="124" t="n">
        <x:v>45434</x:v>
      </x:c>
      <x:c r="D218" s="124" t="n">
        <x:v>45457</x:v>
      </x:c>
      <x:c r="E218" s="125" t="n">
        <x:v>70148.34</x:v>
      </x:c>
      <x:c r="F218" s="125" t="n">
        <x:v>66773.01</x:v>
      </x:c>
      <x:c r="G218" s="120" t="n">
        <x:v>23</x:v>
      </x:c>
      <x:c r="H218" s="125" t="n">
        <x:v>-500.6891609979654</x:v>
      </x:c>
      <x:c r="I218" s="126" t="n">
        <x:f>H218/'Data &amp; Targets'!$C$34</x:f>
        <x:v>-0.050068916099796544</x:v>
      </x:c>
      <x:c r="J218" s="126" t="n">
        <x:v>0.026353866677386817</x:v>
      </x:c>
      <x:c r="K218" s="120" t="str">
        <x:v>已平仓</x:v>
      </x:c>
      <x:c r="L218" s="120" t="str">
        <x:f>IF(K218="未平仓","浮盈未实现",IF(I218&gt;='Data &amp; Targets'!$C$31,"大收益交易",IF(I218&lt;0,"亏损","普通盈利")))</x:f>
        <x:v>亏损</x:v>
      </x:c>
      <x:c r="M218" s="120" t="str">
        <x:v>EMA52 level</x:v>
      </x:c>
      <x:c r="N218" s="120" t="str">
        <x:v>rearm_pure52</x:v>
      </x:c>
    </x:row>
    <x:row r="219" ht="23" customHeight="1">
      <x:c r="A219" s="120" t="str">
        <x:v>状态补入纯52</x:v>
      </x:c>
      <x:c r="B219" s="120" t="str">
        <x:v>多</x:v>
      </x:c>
      <x:c r="C219" s="124" t="n">
        <x:v>45497</x:v>
      </x:c>
      <x:c r="D219" s="124" t="n">
        <x:v>45507</x:v>
      </x:c>
      <x:c r="E219" s="125" t="n">
        <x:v>65936</x:v>
      </x:c>
      <x:c r="F219" s="125" t="n">
        <x:v>61498.34</x:v>
      </x:c>
      <x:c r="G219" s="120" t="n">
        <x:v>10</x:v>
      </x:c>
      <x:c r="H219" s="125" t="n">
        <x:v>-692.352332564912</x:v>
      </x:c>
      <x:c r="I219" s="126" t="n">
        <x:f>H219/'Data &amp; Targets'!$C$34</x:f>
        <x:v>-0.0692352332564912</x:v>
      </x:c>
      <x:c r="J219" s="126" t="n">
        <x:v>0.0628486714389711</x:v>
      </x:c>
      <x:c r="K219" s="120" t="str">
        <x:v>已平仓</x:v>
      </x:c>
      <x:c r="L219" s="120" t="str">
        <x:f>IF(K219="未平仓","浮盈未实现",IF(I219&gt;='Data &amp; Targets'!$C$31,"大收益交易",IF(I219&lt;0,"亏损","普通盈利")))</x:f>
        <x:v>亏损</x:v>
      </x:c>
      <x:c r="M219" s="120" t="str">
        <x:v>EMA52 level</x:v>
      </x:c>
      <x:c r="N219" s="120" t="str">
        <x:v>rearm_pure52</x:v>
      </x:c>
    </x:row>
    <x:row r="220" ht="23" customHeight="1">
      <x:c r="A220" s="120" t="str">
        <x:v>状态补入纯52</x:v>
      </x:c>
      <x:c r="B220" s="120" t="str">
        <x:v>多</x:v>
      </x:c>
      <x:c r="C220" s="124" t="n">
        <x:v>45558</x:v>
      </x:c>
      <x:c r="D220" s="124" t="n">
        <x:v>45567</x:v>
      </x:c>
      <x:c r="E220" s="125" t="n">
        <x:v>63578.76</x:v>
      </x:c>
      <x:c r="F220" s="125" t="n">
        <x:v>60804.92</x:v>
      </x:c>
      <x:c r="G220" s="120" t="n">
        <x:v>9</x:v>
      </x:c>
      <x:c r="H220" s="125" t="n">
        <x:v>-455.8477831275734</x:v>
      </x:c>
      <x:c r="I220" s="126" t="n">
        <x:f>H220/'Data &amp; Targets'!$C$34</x:f>
        <x:v>-0.04558477831275734</x:v>
      </x:c>
      <x:c r="J220" s="126" t="n">
        <x:v>0.045915333988898244</x:v>
      </x:c>
      <x:c r="K220" s="120" t="str">
        <x:v>已平仓</x:v>
      </x:c>
      <x:c r="L220" s="120" t="str">
        <x:f>IF(K220="未平仓","浮盈未实现",IF(I220&gt;='Data &amp; Targets'!$C$31,"大收益交易",IF(I220&lt;0,"亏损","普通盈利")))</x:f>
        <x:v>亏损</x:v>
      </x:c>
      <x:c r="M220" s="120" t="str">
        <x:v>EMA52 level</x:v>
      </x:c>
      <x:c r="N220" s="120" t="str">
        <x:v>rearm_pure52</x:v>
      </x:c>
    </x:row>
    <x:row r="221" ht="23" customHeight="1">
      <x:c r="A221" s="120" t="str">
        <x:v>状态补入纯52</x:v>
      </x:c>
      <x:c r="B221" s="120" t="str">
        <x:v>多</x:v>
      </x:c>
      <x:c r="C221" s="124" t="n">
        <x:v>45570</x:v>
      </x:c>
      <x:c r="D221" s="124" t="n">
        <x:v>45575</x:v>
      </x:c>
      <x:c r="E221" s="125" t="n">
        <x:v>62086</x:v>
      </x:c>
      <x:c r="F221" s="125" t="n">
        <x:v>60636.01</x:v>
      </x:c>
      <x:c r="G221" s="120" t="n">
        <x:v>5</x:v>
      </x:c>
      <x:c r="H221" s="125" t="n">
        <x:v>-253.3118593563763</x:v>
      </x:c>
      <x:c r="I221" s="126" t="n">
        <x:f>H221/'Data &amp; Targets'!$C$34</x:f>
        <x:v>-0.02533118593563763</x:v>
      </x:c>
      <x:c r="J221" s="126" t="n">
        <x:v>0.0385302644718617</x:v>
      </x:c>
      <x:c r="K221" s="120" t="str">
        <x:v>已平仓</x:v>
      </x:c>
      <x:c r="L221" s="120" t="str">
        <x:f>IF(K221="未平仓","浮盈未实现",IF(I221&gt;='Data &amp; Targets'!$C$31,"大收益交易",IF(I221&lt;0,"亏损","普通盈利")))</x:f>
        <x:v>亏损</x:v>
      </x:c>
      <x:c r="M221" s="120" t="str">
        <x:v>EMA52 level</x:v>
      </x:c>
      <x:c r="N221" s="120" t="str">
        <x:v>rearm_pure52</x:v>
      </x:c>
    </x:row>
    <x:row r="222" ht="23" customHeight="1">
      <x:c r="A222" s="120" t="str">
        <x:v>状态补入纯52</x:v>
      </x:c>
      <x:c r="B222" s="120" t="str">
        <x:v>多</x:v>
      </x:c>
      <x:c r="C222" s="124" t="n">
        <x:v>45577</x:v>
      </x:c>
      <x:c r="D222" s="124" t="n">
        <x:v>45657</x:v>
      </x:c>
      <x:c r="E222" s="125" t="n">
        <x:v>62539.99</x:v>
      </x:c>
      <x:c r="F222" s="125" t="n">
        <x:v>92792.05</x:v>
      </x:c>
      <x:c r="G222" s="120" t="n">
        <x:v>80</x:v>
      </x:c>
      <x:c r="H222" s="125" t="n">
        <x:v>4812.397309305616</x:v>
      </x:c>
      <x:c r="I222" s="126" t="n">
        <x:f>H222/'Data &amp; Targets'!$C$34</x:f>
        <x:v>0.48123973093056155</x:v>
      </x:c>
      <x:c r="J222" s="126" t="n">
        <x:v>0.7325394519570598</x:v>
      </x:c>
      <x:c r="K222" s="120" t="str">
        <x:v>已平仓</x:v>
      </x:c>
      <x:c r="L222" s="120" t="str">
        <x:f>IF(K222="未平仓","浮盈未实现",IF(I222&gt;='Data &amp; Targets'!$C$31,"大收益交易",IF(I222&lt;0,"亏损","普通盈利")))</x:f>
        <x:v>大收益交易</x:v>
      </x:c>
      <x:c r="M222" s="120" t="str">
        <x:v>EMA52 level</x:v>
      </x:c>
      <x:c r="N222" s="120" t="str">
        <x:v>rearm_pure52</x:v>
      </x:c>
    </x:row>
    <x:row r="223" ht="23" customHeight="1">
      <x:c r="A223" s="120" t="str">
        <x:v>状态补入纯52</x:v>
      </x:c>
      <x:c r="B223" s="120" t="str">
        <x:v>多</x:v>
      </x:c>
      <x:c r="C223" s="124" t="n">
        <x:v>45660</x:v>
      </x:c>
      <x:c r="D223" s="124" t="n">
        <x:v>45667</x:v>
      </x:c>
      <x:c r="E223" s="125" t="n">
        <x:v>96984.79</x:v>
      </x:c>
      <x:c r="F223" s="125" t="n">
        <x:v>92552.49</x:v>
      </x:c>
      <x:c r="G223" s="120" t="n">
        <x:v>7</x:v>
      </x:c>
      <x:c r="H223" s="125" t="n">
        <x:v>-476.55279554659944</x:v>
      </x:c>
      <x:c r="I223" s="126" t="n">
        <x:f>H223/'Data &amp; Targets'!$C$34</x:f>
        <x:v>-0.047655279554659945</x:v>
      </x:c>
      <x:c r="J223" s="126" t="n">
        <x:v>0.05918031064458673</x:v>
      </x:c>
      <x:c r="K223" s="120" t="str">
        <x:v>已平仓</x:v>
      </x:c>
      <x:c r="L223" s="120" t="str">
        <x:f>IF(K223="未平仓","浮盈未实现",IF(I223&gt;='Data &amp; Targets'!$C$31,"大收益交易",IF(I223&lt;0,"亏损","普通盈利")))</x:f>
        <x:v>亏损</x:v>
      </x:c>
      <x:c r="M223" s="120" t="str">
        <x:v>EMA52 level</x:v>
      </x:c>
      <x:c r="N223" s="120" t="str">
        <x:v>rearm_pure52</x:v>
      </x:c>
    </x:row>
    <x:row r="224" ht="23" customHeight="1">
      <x:c r="A224" s="120" t="str">
        <x:v>状态补入纯52</x:v>
      </x:c>
      <x:c r="B224" s="120" t="str">
        <x:v>多</x:v>
      </x:c>
      <x:c r="C224" s="124" t="n">
        <x:v>45672</x:v>
      </x:c>
      <x:c r="D224" s="124" t="n">
        <x:v>45691</x:v>
      </x:c>
      <x:c r="E224" s="125" t="n">
        <x:v>96560.85</x:v>
      </x:c>
      <x:c r="F224" s="125" t="n">
        <x:v>97700.59</x:v>
      </x:c>
      <x:c r="G224" s="120" t="n">
        <x:v>19</x:v>
      </x:c>
      <x:c r="H224" s="125" t="n">
        <x:v>97.91531039753592</x:v>
      </x:c>
      <x:c r="I224" s="126" t="n">
        <x:f>H224/'Data &amp; Targets'!$C$34</x:f>
        <x:v>0.009791531039753592</x:v>
      </x:c>
      <x:c r="J224" s="126" t="n">
        <x:v>0.13491130204425494</x:v>
      </x:c>
      <x:c r="K224" s="120" t="str">
        <x:v>已平仓</x:v>
      </x:c>
      <x:c r="L224" s="120" t="str">
        <x:f>IF(K224="未平仓","浮盈未实现",IF(I224&gt;='Data &amp; Targets'!$C$31,"大收益交易",IF(I224&lt;0,"亏损","普通盈利")))</x:f>
        <x:v>普通盈利</x:v>
      </x:c>
      <x:c r="M224" s="120" t="str">
        <x:v>EMA52 level</x:v>
      </x:c>
      <x:c r="N224" s="120" t="str">
        <x:v>rearm_pure52</x:v>
      </x:c>
    </x:row>
    <x:row r="225" ht="23" customHeight="1">
      <x:c r="A225" s="120" t="str">
        <x:v>状态补入纯52</x:v>
      </x:c>
      <x:c r="B225" s="120" t="str">
        <x:v>多</x:v>
      </x:c>
      <x:c r="C225" s="124" t="n">
        <x:v>45692</x:v>
      </x:c>
      <x:c r="D225" s="124" t="n">
        <x:v>45693</x:v>
      </x:c>
      <x:c r="E225" s="125" t="n">
        <x:v>101328.51</x:v>
      </x:c>
      <x:c r="F225" s="125" t="n">
        <x:v>97763.14</x:v>
      </x:c>
      <x:c r="G225" s="120" t="n">
        <x:v>1</x:v>
      </x:c>
      <x:c r="H225" s="125" t="n">
        <x:v>-371.5106094030195</x:v>
      </x:c>
      <x:c r="I225" s="126" t="n">
        <x:f>H225/'Data &amp; Targets'!$C$34</x:f>
        <x:v>-0.03715106094030195</x:v>
      </x:c>
      <x:c r="J225" s="126" t="n">
        <x:v>0.0039850581045748346</x:v>
      </x:c>
      <x:c r="K225" s="120" t="str">
        <x:v>已平仓</x:v>
      </x:c>
      <x:c r="L225" s="120" t="str">
        <x:f>IF(K225="未平仓","浮盈未实现",IF(I225&gt;='Data &amp; Targets'!$C$31,"大收益交易",IF(I225&lt;0,"亏损","普通盈利")))</x:f>
        <x:v>亏损</x:v>
      </x:c>
      <x:c r="M225" s="120" t="str">
        <x:v>EMA52 level</x:v>
      </x:c>
      <x:c r="N225" s="120" t="str">
        <x:v>rearm_pure52</x:v>
      </x:c>
    </x:row>
    <x:row r="226" ht="23" customHeight="1">
      <x:c r="A226" s="120" t="str">
        <x:v>状态补入纯52</x:v>
      </x:c>
      <x:c r="B226" s="120" t="str">
        <x:v>多</x:v>
      </x:c>
      <x:c r="C226" s="124" t="n">
        <x:v>45809</x:v>
      </x:c>
      <x:c r="D226" s="124" t="n">
        <x:v>45830</x:v>
      </x:c>
      <x:c r="E226" s="125" t="n">
        <x:v>104591.88</x:v>
      </x:c>
      <x:c r="F226" s="125" t="n">
        <x:v>102120.02</x:v>
      </x:c>
      <x:c r="G226" s="120" t="n">
        <x:v>21</x:v>
      </x:c>
      <x:c r="H226" s="125" t="n">
        <x:v>-256.0975001118634</x:v>
      </x:c>
      <x:c r="I226" s="126" t="n">
        <x:f>H226/'Data &amp; Targets'!$C$34</x:f>
        <x:v>-0.025609750011186337</x:v>
      </x:c>
      <x:c r="J226" s="126" t="n">
        <x:v>0.056775822367854945</x:v>
      </x:c>
      <x:c r="K226" s="120" t="str">
        <x:v>已平仓</x:v>
      </x:c>
      <x:c r="L226" s="120" t="str">
        <x:f>IF(K226="未平仓","浮盈未实现",IF(I226&gt;='Data &amp; Targets'!$C$31,"大收益交易",IF(I226&lt;0,"亏损","普通盈利")))</x:f>
        <x:v>亏损</x:v>
      </x:c>
      <x:c r="M226" s="120" t="str">
        <x:v>EMA52 level</x:v>
      </x:c>
      <x:c r="N226" s="120" t="str">
        <x:v>rearm_pure52</x:v>
      </x:c>
    </x:row>
    <x:row r="227" ht="23" customHeight="1">
      <x:c r="A227" s="120" t="str">
        <x:v>状态补入纯52</x:v>
      </x:c>
      <x:c r="B227" s="120" t="str">
        <x:v>多</x:v>
      </x:c>
      <x:c r="C227" s="124" t="n">
        <x:v>45832</x:v>
      </x:c>
      <x:c r="D227" s="124" t="n">
        <x:v>45872</x:v>
      </x:c>
      <x:c r="E227" s="125" t="n">
        <x:v>105333.94</x:v>
      </x:c>
      <x:c r="F227" s="125" t="n">
        <x:v>112546.35</x:v>
      </x:c>
      <x:c r="G227" s="120" t="n">
        <x:v>40</x:v>
      </x:c>
      <x:c r="H227" s="125" t="n">
        <x:v>664.0338061976989</x:v>
      </x:c>
      <x:c r="I227" s="126" t="n">
        <x:f>H227/'Data &amp; Targets'!$C$34</x:f>
        <x:v>0.0664033806197699</x:v>
      </x:c>
      <x:c r="J227" s="126" t="n">
        <x:v>0.1697844018746475</x:v>
      </x:c>
      <x:c r="K227" s="120" t="str">
        <x:v>已平仓</x:v>
      </x:c>
      <x:c r="L227" s="120" t="str">
        <x:f>IF(K227="未平仓","浮盈未实现",IF(I227&gt;='Data &amp; Targets'!$C$31,"大收益交易",IF(I227&lt;0,"亏损","普通盈利")))</x:f>
        <x:v>普通盈利</x:v>
      </x:c>
      <x:c r="M227" s="120" t="str">
        <x:v>EMA52 level</x:v>
      </x:c>
      <x:c r="N227" s="120" t="str">
        <x:v>rearm_pure52</x:v>
      </x:c>
    </x:row>
    <x:row r="228" ht="23" customHeight="1">
      <x:c r="A228" s="120" t="str">
        <x:v>状态补入纯52</x:v>
      </x:c>
      <x:c r="B228" s="120" t="str">
        <x:v>多</x:v>
      </x:c>
      <x:c r="C228" s="124" t="n">
        <x:v>45877</x:v>
      </x:c>
      <x:c r="D228" s="124" t="n">
        <x:v>45889</x:v>
      </x:c>
      <x:c r="E228" s="125" t="n">
        <x:v>117472.02</x:v>
      </x:c>
      <x:c r="F228" s="125" t="n">
        <x:v>112872.95</x:v>
      </x:c>
      <x:c r="G228" s="120" t="n">
        <x:v>12</x:v>
      </x:c>
      <x:c r="H228" s="125" t="n">
        <x:v>-411.11193712341094</x:v>
      </x:c>
      <x:c r="I228" s="126" t="n">
        <x:f>H228/'Data &amp; Targets'!$C$34</x:f>
        <x:v>-0.04111119371234109</x:v>
      </x:c>
      <x:c r="J228" s="126" t="n">
        <x:v>0.05960551287021376</x:v>
      </x:c>
      <x:c r="K228" s="120" t="str">
        <x:v>已平仓</x:v>
      </x:c>
      <x:c r="L228" s="120" t="str">
        <x:f>IF(K228="未平仓","浮盈未实现",IF(I228&gt;='Data &amp; Targets'!$C$31,"大收益交易",IF(I228&lt;0,"亏损","普通盈利")))</x:f>
        <x:v>亏损</x:v>
      </x:c>
      <x:c r="M228" s="120" t="str">
        <x:v>EMA52 level</x:v>
      </x:c>
      <x:c r="N228" s="120" t="str">
        <x:v>rearm_pure52</x:v>
      </x:c>
    </x:row>
    <x:row r="229" ht="23" customHeight="1">
      <x:c r="A229" s="120" t="str">
        <x:v>状态补入纯52</x:v>
      </x:c>
      <x:c r="B229" s="120" t="str">
        <x:v>多</x:v>
      </x:c>
      <x:c r="C229" s="124" t="n">
        <x:v>45892</x:v>
      </x:c>
      <x:c r="D229" s="124" t="n">
        <x:v>45894</x:v>
      </x:c>
      <x:c r="E229" s="125" t="n">
        <x:v>116936</x:v>
      </x:c>
      <x:c r="F229" s="125" t="n">
        <x:v>113493.59</x:v>
      </x:c>
      <x:c r="G229" s="120" t="n">
        <x:v>2</x:v>
      </x:c>
      <x:c r="H229" s="125" t="n">
        <x:v>-314.08972343846233</x:v>
      </x:c>
      <x:c r="I229" s="126" t="n">
        <x:f>H229/'Data &amp; Targets'!$C$34</x:f>
        <x:v>-0.03140897234384623</x:v>
      </x:c>
      <x:c r="J229" s="126" t="n">
        <x:v>0.000803858520900258</x:v>
      </x:c>
      <x:c r="K229" s="120" t="str">
        <x:v>已平仓</x:v>
      </x:c>
      <x:c r="L229" s="120" t="str">
        <x:f>IF(K229="未平仓","浮盈未实现",IF(I229&gt;='Data &amp; Targets'!$C$31,"大收益交易",IF(I229&lt;0,"亏损","普通盈利")))</x:f>
        <x:v>亏损</x:v>
      </x:c>
      <x:c r="M229" s="120" t="str">
        <x:v>EMA52 level</x:v>
      </x:c>
      <x:c r="N229" s="120" t="str">
        <x:v>rearm_pure52</x:v>
      </x:c>
    </x:row>
    <x:row r="230" ht="23" customHeight="1">
      <x:c r="A230" s="120" t="str">
        <x:v>状态补入纯52</x:v>
      </x:c>
      <x:c r="B230" s="120" t="str">
        <x:v>多</x:v>
      </x:c>
      <x:c r="C230" s="124" t="n">
        <x:v>45919</x:v>
      </x:c>
      <x:c r="D230" s="124" t="n">
        <x:v>45923</x:v>
      </x:c>
      <x:c r="E230" s="125" t="n">
        <x:v>117073.53</x:v>
      </x:c>
      <x:c r="F230" s="125" t="n">
        <x:v>112650.99</x:v>
      </x:c>
      <x:c r="G230" s="120" t="n">
        <x:v>4</x:v>
      </x:c>
      <x:c r="H230" s="125" t="n">
        <x:v>-397.37970829101965</x:v>
      </x:c>
      <x:c r="I230" s="126" t="n">
        <x:f>H230/'Data &amp; Targets'!$C$34</x:f>
        <x:v>-0.039737970829101965</x:v>
      </x:c>
      <x:c r="J230" s="126" t="n">
        <x:v>0.0033010023700490443</x:v>
      </x:c>
      <x:c r="K230" s="120" t="str">
        <x:v>已平仓</x:v>
      </x:c>
      <x:c r="L230" s="120" t="str">
        <x:f>IF(K230="未平仓","浮盈未实现",IF(I230&gt;='Data &amp; Targets'!$C$31,"大收益交易",IF(I230&lt;0,"亏损","普通盈利")))</x:f>
        <x:v>亏损</x:v>
      </x:c>
      <x:c r="M230" s="120" t="str">
        <x:v>EMA52 level</x:v>
      </x:c>
      <x:c r="N230" s="120" t="str">
        <x:v>rearm_pure52</x:v>
      </x:c>
    </x:row>
    <x:row r="231" ht="23" customHeight="1">
      <x:c r="A231" s="120" t="str">
        <x:v>状态补入纯52</x:v>
      </x:c>
      <x:c r="B231" s="120" t="str">
        <x:v>多</x:v>
      </x:c>
      <x:c r="C231" s="124" t="n">
        <x:v>45930</x:v>
      </x:c>
      <x:c r="D231" s="124" t="n">
        <x:v>45941</x:v>
      </x:c>
      <x:c r="E231" s="125" t="n">
        <x:v>114311.97</x:v>
      </x:c>
      <x:c r="F231" s="125" t="n">
        <x:v>112774.49</x:v>
      </x:c>
      <x:c r="G231" s="120" t="n">
        <x:v>11</x:v>
      </x:c>
      <x:c r="H231" s="125" t="n">
        <x:v>-154.36410202711016</x:v>
      </x:c>
      <x:c r="I231" s="126" t="n">
        <x:f>H231/'Data &amp; Targets'!$C$34</x:f>
        <x:v>-0.015436410202711016</x:v>
      </x:c>
      <x:c r="J231" s="126" t="n">
        <x:v>0.10399313387740584</x:v>
      </x:c>
      <x:c r="K231" s="120" t="str">
        <x:v>已平仓</x:v>
      </x:c>
      <x:c r="L231" s="120" t="str">
        <x:f>IF(K231="未平仓","浮盈未实现",IF(I231&gt;='Data &amp; Targets'!$C$31,"大收益交易",IF(I231&lt;0,"亏损","普通盈利")))</x:f>
        <x:v>亏损</x:v>
      </x:c>
      <x:c r="M231" s="120" t="str">
        <x:v>EMA52 level</x:v>
      </x:c>
      <x:c r="N231" s="120" t="str">
        <x:v>rearm_pure52</x:v>
      </x:c>
    </x:row>
    <x:row r="232" ht="23" customHeight="1">
      <x:c r="A232" s="120" t="str">
        <x:v>状态补入纯52</x:v>
      </x:c>
      <x:c r="B232" s="120" t="str">
        <x:v>多</x:v>
      </x:c>
      <x:c r="C232" s="124" t="n">
        <x:v>46032</x:v>
      </x:c>
      <x:c r="D232" s="124" t="n">
        <x:v>46033</x:v>
      </x:c>
      <x:c r="E232" s="125" t="n">
        <x:v>90641.27</x:v>
      </x:c>
      <x:c r="F232" s="125" t="n">
        <x:v>90504.7</x:v>
      </x:c>
      <x:c r="G232" s="120" t="n">
        <x:v>1</x:v>
      </x:c>
      <x:c r="H232" s="125" t="n">
        <x:v>-35.052021005443436</x:v>
      </x:c>
      <x:c r="I232" s="126" t="n">
        <x:f>H232/'Data &amp; Targets'!$C$34</x:f>
        <x:v>-0.0035052021005443435</x:v>
      </x:c>
      <x:c r="J232" s="126" t="n">
        <x:v>0.0021042291221204934</x:v>
      </x:c>
      <x:c r="K232" s="120" t="str">
        <x:v>已平仓</x:v>
      </x:c>
      <x:c r="L232" s="120" t="str">
        <x:f>IF(K232="未平仓","浮盈未实现",IF(I232&gt;='Data &amp; Targets'!$C$31,"大收益交易",IF(I232&lt;0,"亏损","普通盈利")))</x:f>
        <x:v>亏损</x:v>
      </x:c>
      <x:c r="M232" s="120" t="str">
        <x:v>EMA52 level</x:v>
      </x:c>
      <x:c r="N232" s="120" t="str">
        <x:v>rearm_pure52</x:v>
      </x:c>
    </x:row>
    <x:row r="233" ht="23" customHeight="1">
      <x:c r="A233" s="120" t="str">
        <x:v>状态补入纯52</x:v>
      </x:c>
      <x:c r="B233" s="120" t="str">
        <x:v>多</x:v>
      </x:c>
      <x:c r="C233" s="124" t="n">
        <x:v>46100</x:v>
      </x:c>
      <x:c r="D233" s="124" t="n">
        <x:v>46101</x:v>
      </x:c>
      <x:c r="E233" s="125" t="n">
        <x:v>71246.55</x:v>
      </x:c>
      <x:c r="F233" s="125" t="n">
        <x:v>69930.01</x:v>
      </x:c>
      <x:c r="G233" s="120" t="n">
        <x:v>1</x:v>
      </x:c>
      <x:c r="H233" s="125" t="n">
        <x:v>-204.60170492466065</x:v>
      </x:c>
      <x:c r="I233" s="126" t="n">
        <x:f>H233/'Data &amp; Targets'!$C$34</x:f>
        <x:v>-0.020460170492466064</x:v>
      </x:c>
      <x:c r="J233" s="126" t="n">
        <x:v>0.0051544952001183475</x:v>
      </x:c>
      <x:c r="K233" s="120" t="str">
        <x:v>已平仓</x:v>
      </x:c>
      <x:c r="L233" s="120" t="str">
        <x:f>IF(K233="未平仓","浮盈未实现",IF(I233&gt;='Data &amp; Targets'!$C$31,"大收益交易",IF(I233&lt;0,"亏损","普通盈利")))</x:f>
        <x:v>亏损</x:v>
      </x:c>
      <x:c r="M233" s="120" t="str">
        <x:v>EMA52 level</x:v>
      </x:c>
      <x:c r="N233" s="120" t="str">
        <x:v>rearm_pure52</x:v>
      </x:c>
    </x:row>
    <x:row r="234" ht="23" customHeight="1">
      <x:c r="A234" s="120" t="str">
        <x:v>状态补入纯52</x:v>
      </x:c>
      <x:c r="B234" s="120" t="str">
        <x:v>多</x:v>
      </x:c>
      <x:c r="C234" s="124" t="n">
        <x:v>46105</x:v>
      </x:c>
      <x:c r="D234" s="124" t="n">
        <x:v>46106</x:v>
      </x:c>
      <x:c r="E234" s="125" t="n">
        <x:v>70906.45</x:v>
      </x:c>
      <x:c r="F234" s="125" t="n">
        <x:v>70556.74</x:v>
      </x:c>
      <x:c r="G234" s="120" t="n">
        <x:v>1</x:v>
      </x:c>
      <x:c r="H234" s="125" t="n">
        <x:v>-69.27059385993684</x:v>
      </x:c>
      <x:c r="I234" s="126" t="n">
        <x:f>H234/'Data &amp; Targets'!$C$34</x:f>
        <x:v>-0.006927059385993684</x:v>
      </x:c>
      <x:c r="J234" s="126" t="n">
        <x:v>0.0069605797497971356</x:v>
      </x:c>
      <x:c r="K234" s="120" t="str">
        <x:v>已平仓</x:v>
      </x:c>
      <x:c r="L234" s="120" t="str">
        <x:f>IF(K234="未平仓","浮盈未实现",IF(I234&gt;='Data &amp; Targets'!$C$31,"大收益交易",IF(I234&lt;0,"亏损","普通盈利")))</x:f>
        <x:v>亏损</x:v>
      </x:c>
      <x:c r="M234" s="120" t="str">
        <x:v>EMA52 level</x:v>
      </x:c>
      <x:c r="N234" s="120" t="str">
        <x:v>rearm_pure52</x:v>
      </x:c>
    </x:row>
    <x:row r="235" ht="23" customHeight="1">
      <x:c r="A235" s="120" t="str">
        <x:v>状态补入纯52</x:v>
      </x:c>
      <x:c r="B235" s="120" t="str">
        <x:v>多</x:v>
      </x:c>
      <x:c r="C235" s="124" t="n">
        <x:v>46124</x:v>
      </x:c>
      <x:c r="D235" s="124" t="n">
        <x:v>46125</x:v>
      </x:c>
      <x:c r="E235" s="125" t="n">
        <x:v>73043.16</x:v>
      </x:c>
      <x:c r="F235" s="125" t="n">
        <x:v>70741.56</x:v>
      </x:c>
      <x:c r="G235" s="120" t="n">
        <x:v>1</x:v>
      </x:c>
      <x:c r="H235" s="125" t="n">
        <x:v>-334.78627156875547</x:v>
      </x:c>
      <x:c r="I235" s="126" t="n">
        <x:f>H235/'Data &amp; Targets'!$C$34</x:f>
        <x:v>-0.033478627156875544</x:v>
      </x:c>
      <x:c r="J235" s="126" t="n">
        <x:v>0.0012880056120245786</x:v>
      </x:c>
      <x:c r="K235" s="120" t="str">
        <x:v>已平仓</x:v>
      </x:c>
      <x:c r="L235" s="120" t="str">
        <x:f>IF(K235="未平仓","浮盈未实现",IF(I235&gt;='Data &amp; Targets'!$C$31,"大收益交易",IF(I235&lt;0,"亏损","普通盈利")))</x:f>
        <x:v>亏损</x:v>
      </x:c>
      <x:c r="M235" s="120" t="str">
        <x:v>EMA52 level</x:v>
      </x:c>
      <x:c r="N235" s="120" t="str">
        <x:v>rearm_pure52</x:v>
      </x:c>
    </x:row>
    <x:row r="236" ht="23" customHeight="1">
      <x:c r="A236" s="120" t="str">
        <x:v>状态补入纯52</x:v>
      </x:c>
      <x:c r="B236" s="120" t="str">
        <x:v>多</x:v>
      </x:c>
      <x:c r="C236" s="124" t="n">
        <x:v>46126</x:v>
      </x:c>
      <x:c r="D236" s="124" t="n">
        <x:v>46165</x:v>
      </x:c>
      <x:c r="E236" s="125" t="n">
        <x:v>74418</x:v>
      </x:c>
      <x:c r="F236" s="125" t="n">
        <x:v>75539.5</x:v>
      </x:c>
      <x:c r="G236" s="120" t="n">
        <x:v>39</x:v>
      </x:c>
      <x:c r="H236" s="125" t="n">
        <x:v>130.55208417318389</x:v>
      </x:c>
      <x:c r="I236" s="126" t="n">
        <x:f>H236/'Data &amp; Targets'!$C$34</x:f>
        <x:v>0.013055208417318389</x:v>
      </x:c>
      <x:c r="J236" s="126" t="n">
        <x:v>0.11330592061060507</x:v>
      </x:c>
      <x:c r="K236" s="120" t="str">
        <x:v>已平仓</x:v>
      </x:c>
      <x:c r="L236" s="120" t="str">
        <x:f>IF(K236="未平仓","浮盈未实现",IF(I236&gt;='Data &amp; Targets'!$C$31,"大收益交易",IF(I236&lt;0,"亏损","普通盈利")))</x:f>
        <x:v>普通盈利</x:v>
      </x:c>
      <x:c r="M236" s="120" t="str">
        <x:v>EMA52 level</x:v>
      </x:c>
      <x:c r="N236" s="120" t="str">
        <x:v>rearm_pure52</x:v>
      </x:c>
    </x:row>
    <x:row r="237" ht="23" customHeight="1">
      <x:c r="A237" s="120" t="str">
        <x:v>状态补入纯52</x:v>
      </x:c>
      <x:c r="B237" s="120" t="str">
        <x:v>多</x:v>
      </x:c>
      <x:c r="C237" s="124" t="n">
        <x:v>46225</x:v>
      </x:c>
      <x:c r="D237" s="124" t="n">
        <x:v>46227</x:v>
      </x:c>
      <x:c r="E237" s="125" t="n">
        <x:v>66556.15</x:v>
      </x:c>
      <x:c r="F237" s="125" t="n">
        <x:v>65098.98</x:v>
      </x:c>
      <x:c r="G237" s="120" t="n">
        <x:v>2</x:v>
      </x:c>
      <x:c r="H237" s="125" t="n">
        <x:v>-238.71950676233394</x:v>
      </x:c>
      <x:c r="I237" s="126" t="n">
        <x:f>H237/'Data &amp; Targets'!$C$34</x:f>
        <x:v>-0.023871950676233395</x:v>
      </x:c>
      <x:c r="J237" s="126" t="n">
        <x:v>0.002760676511486926</x:v>
      </x:c>
      <x:c r="K237" s="120" t="str">
        <x:v>已平仓</x:v>
      </x:c>
      <x:c r="L237" s="120" t="str">
        <x:f>IF(K237="未平仓","浮盈未实现",IF(I237&gt;='Data &amp; Targets'!$C$31,"大收益交易",IF(I237&lt;0,"亏损","普通盈利")))</x:f>
        <x:v>亏损</x:v>
      </x:c>
      <x:c r="M237" s="120" t="str">
        <x:v>EMA52 level</x:v>
      </x:c>
      <x:c r="N237" s="120" t="str">
        <x:v>rearm_pure52</x:v>
      </x:c>
    </x:row>
    <x:row r="238" ht="23" customHeight="1">
      <x:c r="A238" s="120" t="str">
        <x:v>状态补入纯52</x:v>
      </x:c>
      <x:c r="B238" s="120" t="str">
        <x:v>多</x:v>
      </x:c>
      <x:c r="C238" s="124" t="n">
        <x:v>46229</x:v>
      </x:c>
      <x:c r="D238" s="124" t="n">
        <x:v>46231</x:v>
      </x:c>
      <x:c r="E238" s="125" t="n">
        <x:v>64375.01</x:v>
      </x:c>
      <x:c r="F238" s="125" t="n">
        <x:v>63755.86</x:v>
      </x:c>
      <x:c r="G238" s="120" t="n">
        <x:v>2</x:v>
      </x:c>
      <x:c r="H238" s="125" t="n">
        <x:v>-116.08244721049385</x:v>
      </x:c>
      <x:c r="I238" s="126" t="n">
        <x:f>H238/'Data &amp; Targets'!$C$34</x:f>
        <x:v>-0.011608244721049385</x:v>
      </x:c>
      <x:c r="J238" s="126" t="n">
        <x:v>0.021275181161136913</x:v>
      </x:c>
      <x:c r="K238" s="120" t="str">
        <x:v>已平仓</x:v>
      </x:c>
      <x:c r="L238" s="120" t="str">
        <x:f>IF(K238="未平仓","浮盈未实现",IF(I238&gt;='Data &amp; Targets'!$C$31,"大收益交易",IF(I238&lt;0,"亏损","普通盈利")))</x:f>
        <x:v>亏损</x:v>
      </x:c>
      <x:c r="M238" s="120" t="str">
        <x:v>EMA52 level</x:v>
      </x:c>
      <x:c r="N238" s="120" t="str">
        <x:v>rearm_pure52</x:v>
      </x:c>
    </x:row>
    <x:row r="239" ht="23" customHeight="1">
      <x:c r="A239" s="120" t="str">
        <x:v>状态补入纯52</x:v>
      </x:c>
      <x:c r="B239" s="120" t="str">
        <x:v>多</x:v>
      </x:c>
      <x:c r="C239" s="124" t="n">
        <x:v>46234</x:v>
      </x:c>
      <x:c r="D239" s="124" t="n">
        <x:v>46235</x:v>
      </x:c>
      <x:c r="E239" s="125" t="n">
        <x:v>64780.03</x:v>
      </x:c>
      <x:c r="F239" s="125" t="n">
        <x:v>62887.88</x:v>
      </x:c>
      <x:c r="G239" s="120" t="n">
        <x:v>1</x:v>
      </x:c>
      <x:c r="H239" s="125" t="n">
        <x:v>-311.79638385471594</x:v>
      </x:c>
      <x:c r="I239" s="126" t="n">
        <x:f>H239/'Data &amp; Targets'!$C$34</x:f>
        <x:v>-0.031179638385471595</x:v>
      </x:c>
      <x:c r="J239" s="126" t="n">
        <x:v>0.009717964008352453</x:v>
      </x:c>
      <x:c r="K239" s="120" t="str">
        <x:v>已平仓</x:v>
      </x:c>
      <x:c r="L239" s="120" t="str">
        <x:f>IF(K239="未平仓","浮盈未实现",IF(I239&gt;='Data &amp; Targets'!$C$31,"大收益交易",IF(I239&lt;0,"亏损","普通盈利")))</x:f>
        <x:v>亏损</x:v>
      </x:c>
      <x:c r="M239" s="120" t="str">
        <x:v>EMA52 level</x:v>
      </x:c>
      <x:c r="N239" s="120" t="str">
        <x:v>rearm_pure52</x:v>
      </x:c>
    </x:row>
    <x:row r="240" ht="23" customHeight="1">
      <x:c r="A240" s="120" t="str">
        <x:v>状态补入纯52</x:v>
      </x:c>
      <x:c r="B240" s="120" t="str">
        <x:v>多</x:v>
      </x:c>
      <x:c r="C240" s="124" t="n">
        <x:v>46239</x:v>
      </x:c>
      <x:c r="D240" s="124" t="n">
        <x:v>46240</x:v>
      </x:c>
      <x:c r="E240" s="125" t="n">
        <x:v>64106.55</x:v>
      </x:c>
      <x:c r="F240" s="125" t="n">
        <x:v>64665.24</x:v>
      </x:c>
      <x:c r="G240" s="120" t="n">
        <x:v>1</x:v>
      </x:c>
      <x:c r="H240" s="125" t="n">
        <x:v>67.06307077825822</x:v>
      </x:c>
      <x:c r="I240" s="126" t="n">
        <x:f>H240/'Data &amp; Targets'!$C$34</x:f>
        <x:v>0.006706307077825822</x:v>
      </x:c>
      <x:c r="J240" s="126" t="n">
        <x:v>0.014330360938156872</x:v>
      </x:c>
      <x:c r="K240" s="120" t="str">
        <x:v>已平仓</x:v>
      </x:c>
      <x:c r="L240" s="120" t="str">
        <x:f>IF(K240="未平仓","浮盈未实现",IF(I240&gt;='Data &amp; Targets'!$C$31,"大收益交易",IF(I240&lt;0,"亏损","普通盈利")))</x:f>
        <x:v>普通盈利</x:v>
      </x:c>
      <x:c r="M240" s="120" t="str">
        <x:v>EMA52 level</x:v>
      </x:c>
      <x:c r="N240" s="120" t="str">
        <x:v>rearm_pure52</x:v>
      </x:c>
    </x:row>
    <x:row r="241" ht="23" customHeight="1">
      <x:c r="A241" s="120" t="str">
        <x:v>状态补入纯52</x:v>
      </x:c>
      <x:c r="B241" s="120" t="str">
        <x:v>多</x:v>
      </x:c>
      <x:c r="C241" s="124" t="n">
        <x:v>46252</x:v>
      </x:c>
      <x:c r="D241" s="124"/>
      <x:c r="E241" s="125" t="n">
        <x:v>64532.11</x:v>
      </x:c>
      <x:c r="F241" s="125" t="n">
        <x:v>80341.83</x:v>
      </x:c>
      <x:c r="G241" s="120" t="n">
        <x:v>19</x:v>
      </x:c>
      <x:c r="H241" s="125" t="n">
        <x:v>2439.899747583025</x:v>
      </x:c>
      <x:c r="I241" s="126" t="n">
        <x:f>H241/'Data &amp; Targets'!$C$34</x:f>
        <x:v>0.2439899747583025</x:v>
      </x:c>
      <x:c r="J241" s="126"/>
      <x:c r="K241" s="120" t="str">
        <x:v>未平仓</x:v>
      </x:c>
      <x:c r="L241" s="120" t="str">
        <x:f>IF(K241="未平仓","浮盈未实现",IF(I241&gt;='Data &amp; Targets'!$C$31,"大收益交易",IF(I241&lt;0,"亏损","普通盈利")))</x:f>
        <x:v>浮盈未实现</x:v>
      </x:c>
      <x:c r="M241" s="120" t="str">
        <x:v>期末按收盘估值；仅扣已付开仓费</x:v>
      </x:c>
      <x:c r="N241" s="120" t="str">
        <x:v>rearm_pure52</x:v>
      </x:c>
    </x:row>
    <x:row r="242" ht="23" customHeight="1">
      <x:c r="A242" s="120" t="str">
        <x:v>EMA252ATR下穿</x:v>
      </x:c>
      <x:c r="B242" s="120" t="str">
        <x:v>多</x:v>
      </x:c>
      <x:c r="C242" s="124" t="n">
        <x:v>45372</x:v>
      </x:c>
      <x:c r="D242" s="124" t="n">
        <x:v>45468</x:v>
      </x:c>
      <x:c r="E242" s="125" t="n">
        <x:v>67840.51</x:v>
      </x:c>
      <x:c r="F242" s="125" t="n">
        <x:v>60293.3</x:v>
      </x:c>
      <x:c r="G242" s="120" t="n">
        <x:v>96</x:v>
      </x:c>
      <x:c r="H242" s="125" t="n">
        <x:v>-1131.380617569059</x:v>
      </x:c>
      <x:c r="I242" s="126" t="n">
        <x:f>H242/'Data &amp; Targets'!$C$34</x:f>
        <x:v>-0.1131380617569059</x:v>
      </x:c>
      <x:c r="J242" s="126" t="n">
        <x:v>0.07307551196180584</x:v>
      </x:c>
      <x:c r="K242" s="120" t="str">
        <x:v>已平仓</x:v>
      </x:c>
      <x:c r="L242" s="120" t="str">
        <x:f>IF(K242="未平仓","浮盈未实现",IF(I242&gt;='Data &amp; Targets'!$C$31,"大收益交易",IF(I242&lt;0,"亏损","普通盈利")))</x:f>
        <x:v>亏损</x:v>
      </x:c>
      <x:c r="M242" s="120" t="str">
        <x:v>EMA52-2ATR cross</x:v>
      </x:c>
      <x:c r="N242" s="120" t="str">
        <x:v>ema25_atr_cross</x:v>
      </x:c>
    </x:row>
    <x:row r="243" ht="23" customHeight="1">
      <x:c r="A243" s="120" t="str">
        <x:v>EMA252ATR下穿</x:v>
      </x:c>
      <x:c r="B243" s="120" t="str">
        <x:v>多</x:v>
      </x:c>
      <x:c r="C243" s="124" t="n">
        <x:v>45506</x:v>
      </x:c>
      <x:c r="D243" s="124" t="n">
        <x:v>45509</x:v>
      </x:c>
      <x:c r="E243" s="125" t="n">
        <x:v>65354.02</x:v>
      </x:c>
      <x:c r="F243" s="125" t="n">
        <x:v>58161</x:v>
      </x:c>
      <x:c r="G243" s="120" t="n">
        <x:v>3</x:v>
      </x:c>
      <x:c r="H243" s="125" t="n">
        <x:v>-1119.5233315410433</x:v>
      </x:c>
      <x:c r="I243" s="126" t="n">
        <x:f>H243/'Data &amp; Targets'!$C$34</x:f>
        <x:v>-0.11195233315410433</x:v>
      </x:c>
      <x:c r="J243" s="126" t="n">
        <x:v>0.00370474532400622</x:v>
      </x:c>
      <x:c r="K243" s="120" t="str">
        <x:v>已平仓</x:v>
      </x:c>
      <x:c r="L243" s="120" t="str">
        <x:f>IF(K243="未平仓","浮盈未实现",IF(I243&gt;='Data &amp; Targets'!$C$31,"大收益交易",IF(I243&lt;0,"亏损","普通盈利")))</x:f>
        <x:v>亏损</x:v>
      </x:c>
      <x:c r="M243" s="120" t="str">
        <x:v>EMA52-2ATR cross</x:v>
      </x:c>
      <x:c r="N243" s="120" t="str">
        <x:v>ema25_atr_cross</x:v>
      </x:c>
    </x:row>
    <x:row r="244" ht="23" customHeight="1">
      <x:c r="A244" s="120" t="str">
        <x:v>EMA252ATR下穿</x:v>
      </x:c>
      <x:c r="B244" s="120" t="str">
        <x:v>多</x:v>
      </x:c>
      <x:c r="C244" s="124" t="n">
        <x:v>45570</x:v>
      </x:c>
      <x:c r="D244" s="124" t="n">
        <x:v>45714</x:v>
      </x:c>
      <x:c r="E244" s="125" t="n">
        <x:v>62086</x:v>
      </x:c>
      <x:c r="F244" s="125" t="n">
        <x:v>88680.39</x:v>
      </x:c>
      <x:c r="G244" s="120" t="n">
        <x:v>144</x:v>
      </x:c>
      <x:c r="H244" s="125" t="n">
        <x:v>4259.192669845053</x:v>
      </x:c>
      <x:c r="I244" s="126" t="n">
        <x:f>H244/'Data &amp; Targets'!$C$34</x:f>
        <x:v>0.42591926698450533</x:v>
      </x:c>
      <x:c r="J244" s="126" t="n">
        <x:v>0.7651000225493669</x:v>
      </x:c>
      <x:c r="K244" s="120" t="str">
        <x:v>已平仓</x:v>
      </x:c>
      <x:c r="L244" s="120" t="str">
        <x:f>IF(K244="未平仓","浮盈未实现",IF(I244&gt;='Data &amp; Targets'!$C$31,"大收益交易",IF(I244&lt;0,"亏损","普通盈利")))</x:f>
        <x:v>大收益交易</x:v>
      </x:c>
      <x:c r="M244" s="120" t="str">
        <x:v>EMA52-2ATR cross</x:v>
      </x:c>
      <x:c r="N244" s="120" t="str">
        <x:v>ema25_atr_cross</x:v>
      </x:c>
    </x:row>
    <x:row r="245" ht="23" customHeight="1">
      <x:c r="A245" s="120" t="str">
        <x:v>EMA252ATR下穿</x:v>
      </x:c>
      <x:c r="B245" s="120" t="str">
        <x:v>多</x:v>
      </x:c>
      <x:c r="C245" s="124" t="n">
        <x:v>45809</x:v>
      </x:c>
      <x:c r="D245" s="124" t="n">
        <x:v>45966</x:v>
      </x:c>
      <x:c r="E245" s="125" t="n">
        <x:v>104591.88</x:v>
      </x:c>
      <x:c r="F245" s="125" t="n">
        <x:v>101497.23</x:v>
      </x:c>
      <x:c r="G245" s="120" t="n">
        <x:v>157</x:v>
      </x:c>
      <x:c r="H245" s="125" t="n">
        <x:v>-315.5827307052907</x:v>
      </x:c>
      <x:c r="I245" s="126" t="n">
        <x:f>H245/'Data &amp; Targets'!$C$34</x:f>
        <x:v>-0.03155827307052907</x:v>
      </x:c>
      <x:c r="J245" s="126" t="n">
        <x:v>0.2065910852735413</x:v>
      </x:c>
      <x:c r="K245" s="120" t="str">
        <x:v>已平仓</x:v>
      </x:c>
      <x:c r="L245" s="120" t="str">
        <x:f>IF(K245="未平仓","浮盈未实现",IF(I245&gt;='Data &amp; Targets'!$C$31,"大收益交易",IF(I245&lt;0,"亏损","普通盈利")))</x:f>
        <x:v>亏损</x:v>
      </x:c>
      <x:c r="M245" s="120" t="str">
        <x:v>EMA52-2ATR cross</x:v>
      </x:c>
      <x:c r="N245" s="120" t="str">
        <x:v>ema25_atr_cross</x:v>
      </x:c>
    </x:row>
    <x:row r="246" ht="23" customHeight="1">
      <x:c r="A246" s="120" t="str">
        <x:v>EMA252ATR下穿</x:v>
      </x:c>
      <x:c r="B246" s="120" t="str">
        <x:v>多</x:v>
      </x:c>
      <x:c r="C246" s="124" t="n">
        <x:v>46105</x:v>
      </x:c>
      <x:c r="D246" s="124" t="n">
        <x:v>46111</x:v>
      </x:c>
      <x:c r="E246" s="125" t="n">
        <x:v>70906.45</x:v>
      </x:c>
      <x:c r="F246" s="125" t="n">
        <x:v>66010.93</x:v>
      </x:c>
      <x:c r="G246" s="120" t="n">
        <x:v>6</x:v>
      </x:c>
      <x:c r="H246" s="125" t="n">
        <x:v>-709.7291402968283</x:v>
      </x:c>
      <x:c r="I246" s="126" t="n">
        <x:f>H246/'Data &amp; Targets'!$C$34</x:f>
        <x:v>-0.07097291402968282</x:v>
      </x:c>
      <x:c r="J246" s="126" t="n">
        <x:v>0.01579038296233981</x:v>
      </x:c>
      <x:c r="K246" s="120" t="str">
        <x:v>已平仓</x:v>
      </x:c>
      <x:c r="L246" s="120" t="str">
        <x:f>IF(K246="未平仓","浮盈未实现",IF(I246&gt;='Data &amp; Targets'!$C$31,"大收益交易",IF(I246&lt;0,"亏损","普通盈利")))</x:f>
        <x:v>亏损</x:v>
      </x:c>
      <x:c r="M246" s="120" t="str">
        <x:v>EMA52-2ATR cross</x:v>
      </x:c>
      <x:c r="N246" s="120" t="str">
        <x:v>ema25_atr_cross</x:v>
      </x:c>
    </x:row>
    <x:row r="247" ht="23" customHeight="1">
      <x:c r="A247" s="120" t="str">
        <x:v>EMA252ATR下穿</x:v>
      </x:c>
      <x:c r="B247" s="120" t="str">
        <x:v>多</x:v>
      </x:c>
      <x:c r="C247" s="124" t="n">
        <x:v>46229</x:v>
      </x:c>
      <x:c r="D247" s="124"/>
      <x:c r="E247" s="125" t="n">
        <x:v>64375.01</x:v>
      </x:c>
      <x:c r="F247" s="125" t="n">
        <x:v>80341.83</x:v>
      </x:c>
      <x:c r="G247" s="120" t="n">
        <x:v>42</x:v>
      </x:c>
      <x:c r="H247" s="125" t="n">
        <x:v>2470.2823331600257</x:v>
      </x:c>
      <x:c r="I247" s="126" t="n">
        <x:f>H247/'Data &amp; Targets'!$C$34</x:f>
        <x:v>0.24702823331600257</x:v>
      </x:c>
      <x:c r="J247" s="126"/>
      <x:c r="K247" s="120" t="str">
        <x:v>未平仓</x:v>
      </x:c>
      <x:c r="L247" s="120" t="str">
        <x:f>IF(K247="未平仓","浮盈未实现",IF(I247&gt;='Data &amp; Targets'!$C$31,"大收益交易",IF(I247&lt;0,"亏损","普通盈利")))</x:f>
        <x:v>浮盈未实现</x:v>
      </x:c>
      <x:c r="M247" s="120" t="str">
        <x:v>期末按收盘估值；仅扣已付开仓费</x:v>
      </x:c>
      <x:c r="N247" s="120" t="str">
        <x:v>ema25_atr_cross</x:v>
      </x:c>
    </x:row>
    <x:row r="248" ht="23" customHeight="1">
      <x:c r="A248" s="120" t="str">
        <x:v>EMA252ATR低于</x:v>
      </x:c>
      <x:c r="B248" s="120" t="str">
        <x:v>多</x:v>
      </x:c>
      <x:c r="C248" s="124" t="n">
        <x:v>45372</x:v>
      </x:c>
      <x:c r="D248" s="124" t="n">
        <x:v>45468</x:v>
      </x:c>
      <x:c r="E248" s="125" t="n">
        <x:v>67840.51</x:v>
      </x:c>
      <x:c r="F248" s="125" t="n">
        <x:v>60293.3</x:v>
      </x:c>
      <x:c r="G248" s="120" t="n">
        <x:v>96</x:v>
      </x:c>
      <x:c r="H248" s="125" t="n">
        <x:v>-1131.380617569059</x:v>
      </x:c>
      <x:c r="I248" s="126" t="n">
        <x:f>H248/'Data &amp; Targets'!$C$34</x:f>
        <x:v>-0.1131380617569059</x:v>
      </x:c>
      <x:c r="J248" s="126" t="n">
        <x:v>0.07307551196180584</x:v>
      </x:c>
      <x:c r="K248" s="120" t="str">
        <x:v>已平仓</x:v>
      </x:c>
      <x:c r="L248" s="120" t="str">
        <x:f>IF(K248="未平仓","浮盈未实现",IF(I248&gt;='Data &amp; Targets'!$C$31,"大收益交易",IF(I248&lt;0,"亏损","普通盈利")))</x:f>
        <x:v>亏损</x:v>
      </x:c>
      <x:c r="M248" s="120" t="str">
        <x:v>EMA52-2ATR level</x:v>
      </x:c>
      <x:c r="N248" s="120" t="str">
        <x:v>ema25_atr_level</x:v>
      </x:c>
    </x:row>
    <x:row r="249" ht="23" customHeight="1">
      <x:c r="A249" s="120" t="str">
        <x:v>EMA252ATR低于</x:v>
      </x:c>
      <x:c r="B249" s="120" t="str">
        <x:v>多</x:v>
      </x:c>
      <x:c r="C249" s="124" t="n">
        <x:v>45506</x:v>
      </x:c>
      <x:c r="D249" s="124" t="n">
        <x:v>45509</x:v>
      </x:c>
      <x:c r="E249" s="125" t="n">
        <x:v>65354.02</x:v>
      </x:c>
      <x:c r="F249" s="125" t="n">
        <x:v>58161</x:v>
      </x:c>
      <x:c r="G249" s="120" t="n">
        <x:v>3</x:v>
      </x:c>
      <x:c r="H249" s="125" t="n">
        <x:v>-1119.5233315410433</x:v>
      </x:c>
      <x:c r="I249" s="126" t="n">
        <x:f>H249/'Data &amp; Targets'!$C$34</x:f>
        <x:v>-0.11195233315410433</x:v>
      </x:c>
      <x:c r="J249" s="126" t="n">
        <x:v>0.00370474532400622</x:v>
      </x:c>
      <x:c r="K249" s="120" t="str">
        <x:v>已平仓</x:v>
      </x:c>
      <x:c r="L249" s="120" t="str">
        <x:f>IF(K249="未平仓","浮盈未实现",IF(I249&gt;='Data &amp; Targets'!$C$31,"大收益交易",IF(I249&lt;0,"亏损","普通盈利")))</x:f>
        <x:v>亏损</x:v>
      </x:c>
      <x:c r="M249" s="120" t="str">
        <x:v>EMA52-2ATR level</x:v>
      </x:c>
      <x:c r="N249" s="120" t="str">
        <x:v>ema25_atr_level</x:v>
      </x:c>
    </x:row>
    <x:row r="250" ht="23" customHeight="1">
      <x:c r="A250" s="120" t="str">
        <x:v>EMA252ATR低于</x:v>
      </x:c>
      <x:c r="B250" s="120" t="str">
        <x:v>多</x:v>
      </x:c>
      <x:c r="C250" s="124" t="n">
        <x:v>45570</x:v>
      </x:c>
      <x:c r="D250" s="124" t="n">
        <x:v>45714</x:v>
      </x:c>
      <x:c r="E250" s="125" t="n">
        <x:v>62086</x:v>
      </x:c>
      <x:c r="F250" s="125" t="n">
        <x:v>88680.39</x:v>
      </x:c>
      <x:c r="G250" s="120" t="n">
        <x:v>144</x:v>
      </x:c>
      <x:c r="H250" s="125" t="n">
        <x:v>4259.192669845053</x:v>
      </x:c>
      <x:c r="I250" s="126" t="n">
        <x:f>H250/'Data &amp; Targets'!$C$34</x:f>
        <x:v>0.42591926698450533</x:v>
      </x:c>
      <x:c r="J250" s="126" t="n">
        <x:v>0.7651000225493669</x:v>
      </x:c>
      <x:c r="K250" s="120" t="str">
        <x:v>已平仓</x:v>
      </x:c>
      <x:c r="L250" s="120" t="str">
        <x:f>IF(K250="未平仓","浮盈未实现",IF(I250&gt;='Data &amp; Targets'!$C$31,"大收益交易",IF(I250&lt;0,"亏损","普通盈利")))</x:f>
        <x:v>大收益交易</x:v>
      </x:c>
      <x:c r="M250" s="120" t="str">
        <x:v>EMA52-2ATR level</x:v>
      </x:c>
      <x:c r="N250" s="120" t="str">
        <x:v>ema25_atr_level</x:v>
      </x:c>
    </x:row>
    <x:row r="251" ht="23" customHeight="1">
      <x:c r="A251" s="120" t="str">
        <x:v>EMA252ATR低于</x:v>
      </x:c>
      <x:c r="B251" s="120" t="str">
        <x:v>多</x:v>
      </x:c>
      <x:c r="C251" s="124" t="n">
        <x:v>45809</x:v>
      </x:c>
      <x:c r="D251" s="124" t="n">
        <x:v>45966</x:v>
      </x:c>
      <x:c r="E251" s="125" t="n">
        <x:v>104591.88</x:v>
      </x:c>
      <x:c r="F251" s="125" t="n">
        <x:v>101497.23</x:v>
      </x:c>
      <x:c r="G251" s="120" t="n">
        <x:v>157</x:v>
      </x:c>
      <x:c r="H251" s="125" t="n">
        <x:v>-315.5827307052907</x:v>
      </x:c>
      <x:c r="I251" s="126" t="n">
        <x:f>H251/'Data &amp; Targets'!$C$34</x:f>
        <x:v>-0.03155827307052907</x:v>
      </x:c>
      <x:c r="J251" s="126" t="n">
        <x:v>0.2065910852735413</x:v>
      </x:c>
      <x:c r="K251" s="120" t="str">
        <x:v>已平仓</x:v>
      </x:c>
      <x:c r="L251" s="120" t="str">
        <x:f>IF(K251="未平仓","浮盈未实现",IF(I251&gt;='Data &amp; Targets'!$C$31,"大收益交易",IF(I251&lt;0,"亏损","普通盈利")))</x:f>
        <x:v>亏损</x:v>
      </x:c>
      <x:c r="M251" s="120" t="str">
        <x:v>EMA52-2ATR level</x:v>
      </x:c>
      <x:c r="N251" s="120" t="str">
        <x:v>ema25_atr_level</x:v>
      </x:c>
    </x:row>
    <x:row r="252" ht="23" customHeight="1">
      <x:c r="A252" s="120" t="str">
        <x:v>EMA252ATR低于</x:v>
      </x:c>
      <x:c r="B252" s="120" t="str">
        <x:v>多</x:v>
      </x:c>
      <x:c r="C252" s="124" t="n">
        <x:v>46105</x:v>
      </x:c>
      <x:c r="D252" s="124" t="n">
        <x:v>46111</x:v>
      </x:c>
      <x:c r="E252" s="125" t="n">
        <x:v>70906.45</x:v>
      </x:c>
      <x:c r="F252" s="125" t="n">
        <x:v>66010.93</x:v>
      </x:c>
      <x:c r="G252" s="120" t="n">
        <x:v>6</x:v>
      </x:c>
      <x:c r="H252" s="125" t="n">
        <x:v>-709.7291402968283</x:v>
      </x:c>
      <x:c r="I252" s="126" t="n">
        <x:f>H252/'Data &amp; Targets'!$C$34</x:f>
        <x:v>-0.07097291402968282</x:v>
      </x:c>
      <x:c r="J252" s="126" t="n">
        <x:v>0.01579038296233981</x:v>
      </x:c>
      <x:c r="K252" s="120" t="str">
        <x:v>已平仓</x:v>
      </x:c>
      <x:c r="L252" s="120" t="str">
        <x:f>IF(K252="未平仓","浮盈未实现",IF(I252&gt;='Data &amp; Targets'!$C$31,"大收益交易",IF(I252&lt;0,"亏损","普通盈利")))</x:f>
        <x:v>亏损</x:v>
      </x:c>
      <x:c r="M252" s="120" t="str">
        <x:v>EMA52-2ATR level</x:v>
      </x:c>
      <x:c r="N252" s="120" t="str">
        <x:v>ema25_atr_level</x:v>
      </x:c>
    </x:row>
    <x:row r="253" ht="23" customHeight="1">
      <x:c r="A253" s="120" t="str">
        <x:v>EMA252ATR低于</x:v>
      </x:c>
      <x:c r="B253" s="120" t="str">
        <x:v>多</x:v>
      </x:c>
      <x:c r="C253" s="124" t="n">
        <x:v>46229</x:v>
      </x:c>
      <x:c r="D253" s="124"/>
      <x:c r="E253" s="125" t="n">
        <x:v>64375.01</x:v>
      </x:c>
      <x:c r="F253" s="125" t="n">
        <x:v>80341.83</x:v>
      </x:c>
      <x:c r="G253" s="120" t="n">
        <x:v>42</x:v>
      </x:c>
      <x:c r="H253" s="125" t="n">
        <x:v>2470.2823331600257</x:v>
      </x:c>
      <x:c r="I253" s="126" t="n">
        <x:f>H253/'Data &amp; Targets'!$C$34</x:f>
        <x:v>0.24702823331600257</x:v>
      </x:c>
      <x:c r="J253" s="126"/>
      <x:c r="K253" s="120" t="str">
        <x:v>未平仓</x:v>
      </x:c>
      <x:c r="L253" s="120" t="str">
        <x:f>IF(K253="未平仓","浮盈未实现",IF(I253&gt;='Data &amp; Targets'!$C$31,"大收益交易",IF(I253&lt;0,"亏损","普通盈利")))</x:f>
        <x:v>浮盈未实现</x:v>
      </x:c>
      <x:c r="M253" s="120" t="str">
        <x:v>期末按收盘估值；仅扣已付开仓费</x:v>
      </x:c>
      <x:c r="N253" s="120" t="str">
        <x:v>ema25_atr_level</x:v>
      </x:c>
    </x:row>
    <x:row r="254" ht="23" customHeight="1">
      <x:c r="A254" s="120" t="str">
        <x:v>状态补入2ATR下穿</x:v>
      </x:c>
      <x:c r="B254" s="120" t="str">
        <x:v>多</x:v>
      </x:c>
      <x:c r="C254" s="124" t="n">
        <x:v>45330</x:v>
      </x:c>
      <x:c r="D254" s="124" t="n">
        <x:v>45468</x:v>
      </x:c>
      <x:c r="E254" s="125" t="n">
        <x:v>44349.6</x:v>
      </x:c>
      <x:c r="F254" s="125" t="n">
        <x:v>60293.3</x:v>
      </x:c>
      <x:c r="G254" s="120" t="n">
        <x:v>138</x:v>
      </x:c>
      <x:c r="H254" s="125" t="n">
        <x:v>3571.4092348070794</x:v>
      </x:c>
      <x:c r="I254" s="126" t="n">
        <x:f>H254/'Data &amp; Targets'!$C$34</x:f>
        <x:v>0.3571409234807079</x:v>
      </x:c>
      <x:c r="J254" s="126" t="n">
        <x:v>0.6635324783087109</x:v>
      </x:c>
      <x:c r="K254" s="120" t="str">
        <x:v>已平仓</x:v>
      </x:c>
      <x:c r="L254" s="120" t="str">
        <x:f>IF(K254="未平仓","浮盈未实现",IF(I254&gt;='Data &amp; Targets'!$C$31,"大收益交易",IF(I254&lt;0,"亏损","普通盈利")))</x:f>
        <x:v>大收益交易</x:v>
      </x:c>
      <x:c r="M254" s="120" t="str">
        <x:v>EMA52-2ATR cross</x:v>
      </x:c>
      <x:c r="N254" s="120" t="str">
        <x:v>rearm_atr_cross</x:v>
      </x:c>
    </x:row>
    <x:row r="255" ht="23" customHeight="1">
      <x:c r="A255" s="120" t="str">
        <x:v>状态补入2ATR下穿</x:v>
      </x:c>
      <x:c r="B255" s="120" t="str">
        <x:v>多</x:v>
      </x:c>
      <x:c r="C255" s="124" t="n">
        <x:v>45497</x:v>
      </x:c>
      <x:c r="D255" s="124" t="n">
        <x:v>45509</x:v>
      </x:c>
      <x:c r="E255" s="125" t="n">
        <x:v>65936</x:v>
      </x:c>
      <x:c r="F255" s="125" t="n">
        <x:v>58161</x:v>
      </x:c>
      <x:c r="G255" s="120" t="n">
        <x:v>12</x:v>
      </x:c>
      <x:c r="H255" s="125" t="n">
        <x:v>-1197.994570492599</x:v>
      </x:c>
      <x:c r="I255" s="126" t="n">
        <x:f>H255/'Data &amp; Targets'!$C$34</x:f>
        <x:v>-0.1197994570492599</x:v>
      </x:c>
      <x:c r="J255" s="126" t="n">
        <x:v>0.0628486714389711</x:v>
      </x:c>
      <x:c r="K255" s="120" t="str">
        <x:v>已平仓</x:v>
      </x:c>
      <x:c r="L255" s="120" t="str">
        <x:f>IF(K255="未平仓","浮盈未实现",IF(I255&gt;='Data &amp; Targets'!$C$31,"大收益交易",IF(I255&lt;0,"亏损","普通盈利")))</x:f>
        <x:v>亏损</x:v>
      </x:c>
      <x:c r="M255" s="120" t="str">
        <x:v>EMA52-2ATR cross</x:v>
      </x:c>
      <x:c r="N255" s="120" t="str">
        <x:v>rearm_atr_cross</x:v>
      </x:c>
    </x:row>
    <x:row r="256" ht="23" customHeight="1">
      <x:c r="A256" s="120" t="str">
        <x:v>状态补入2ATR下穿</x:v>
      </x:c>
      <x:c r="B256" s="120" t="str">
        <x:v>多</x:v>
      </x:c>
      <x:c r="C256" s="124" t="n">
        <x:v>45558</x:v>
      </x:c>
      <x:c r="D256" s="124" t="n">
        <x:v>45714</x:v>
      </x:c>
      <x:c r="E256" s="125" t="n">
        <x:v>63578.76</x:v>
      </x:c>
      <x:c r="F256" s="125" t="n">
        <x:v>88680.39</x:v>
      </x:c>
      <x:c r="G256" s="120" t="n">
        <x:v>156</x:v>
      </x:c>
      <x:c r="H256" s="125" t="n">
        <x:v>3924.167575775306</x:v>
      </x:c>
      <x:c r="I256" s="126" t="n">
        <x:f>H256/'Data &amp; Targets'!$C$34</x:f>
        <x:v>0.3924167575775306</x:v>
      </x:c>
      <x:c r="J256" s="126" t="n">
        <x:v>0.72365739753339</x:v>
      </x:c>
      <x:c r="K256" s="120" t="str">
        <x:v>已平仓</x:v>
      </x:c>
      <x:c r="L256" s="120" t="str">
        <x:f>IF(K256="未平仓","浮盈未实现",IF(I256&gt;='Data &amp; Targets'!$C$31,"大收益交易",IF(I256&lt;0,"亏损","普通盈利")))</x:f>
        <x:v>大收益交易</x:v>
      </x:c>
      <x:c r="M256" s="120" t="str">
        <x:v>EMA52-2ATR cross</x:v>
      </x:c>
      <x:c r="N256" s="120" t="str">
        <x:v>rearm_atr_cross</x:v>
      </x:c>
    </x:row>
    <x:row r="257" ht="23" customHeight="1">
      <x:c r="A257" s="120" t="str">
        <x:v>状态补入2ATR下穿</x:v>
      </x:c>
      <x:c r="B257" s="120" t="str">
        <x:v>多</x:v>
      </x:c>
      <x:c r="C257" s="124" t="n">
        <x:v>45809</x:v>
      </x:c>
      <x:c r="D257" s="124" t="n">
        <x:v>45966</x:v>
      </x:c>
      <x:c r="E257" s="125" t="n">
        <x:v>104591.88</x:v>
      </x:c>
      <x:c r="F257" s="125" t="n">
        <x:v>101497.23</x:v>
      </x:c>
      <x:c r="G257" s="120" t="n">
        <x:v>157</x:v>
      </x:c>
      <x:c r="H257" s="125" t="n">
        <x:v>-315.5827307052907</x:v>
      </x:c>
      <x:c r="I257" s="126" t="n">
        <x:f>H257/'Data &amp; Targets'!$C$34</x:f>
        <x:v>-0.03155827307052907</x:v>
      </x:c>
      <x:c r="J257" s="126" t="n">
        <x:v>0.2065910852735413</x:v>
      </x:c>
      <x:c r="K257" s="120" t="str">
        <x:v>已平仓</x:v>
      </x:c>
      <x:c r="L257" s="120" t="str">
        <x:f>IF(K257="未平仓","浮盈未实现",IF(I257&gt;='Data &amp; Targets'!$C$31,"大收益交易",IF(I257&lt;0,"亏损","普通盈利")))</x:f>
        <x:v>亏损</x:v>
      </x:c>
      <x:c r="M257" s="120" t="str">
        <x:v>EMA52-2ATR cross</x:v>
      </x:c>
      <x:c r="N257" s="120" t="str">
        <x:v>rearm_atr_cross</x:v>
      </x:c>
    </x:row>
    <x:row r="258" ht="23" customHeight="1">
      <x:c r="A258" s="120" t="str">
        <x:v>状态补入2ATR下穿</x:v>
      </x:c>
      <x:c r="B258" s="120" t="str">
        <x:v>多</x:v>
      </x:c>
      <x:c r="C258" s="124" t="n">
        <x:v>46032</x:v>
      </x:c>
      <x:c r="D258" s="124" t="n">
        <x:v>46048</x:v>
      </x:c>
      <x:c r="E258" s="125" t="n">
        <x:v>90641.27</x:v>
      </x:c>
      <x:c r="F258" s="125" t="n">
        <x:v>86670.36</x:v>
      </x:c>
      <x:c r="G258" s="120" t="n">
        <x:v>16</x:v>
      </x:c>
      <x:c r="H258" s="125" t="n">
        <x:v>-457.65263770024444</x:v>
      </x:c>
      <x:c r="I258" s="126" t="n">
        <x:f>H258/'Data &amp; Targets'!$C$34</x:f>
        <x:v>-0.04576526377002445</x:v>
      </x:c>
      <x:c r="J258" s="126" t="n">
        <x:v>0.08035213981445753</x:v>
      </x:c>
      <x:c r="K258" s="120" t="str">
        <x:v>已平仓</x:v>
      </x:c>
      <x:c r="L258" s="120" t="str">
        <x:f>IF(K258="未平仓","浮盈未实现",IF(I258&gt;='Data &amp; Targets'!$C$31,"大收益交易",IF(I258&lt;0,"亏损","普通盈利")))</x:f>
        <x:v>亏损</x:v>
      </x:c>
      <x:c r="M258" s="120" t="str">
        <x:v>EMA52-2ATR cross</x:v>
      </x:c>
      <x:c r="N258" s="120" t="str">
        <x:v>rearm_atr_cross</x:v>
      </x:c>
    </x:row>
    <x:row r="259" ht="23" customHeight="1">
      <x:c r="A259" s="120" t="str">
        <x:v>状态补入2ATR下穿</x:v>
      </x:c>
      <x:c r="B259" s="120" t="str">
        <x:v>多</x:v>
      </x:c>
      <x:c r="C259" s="124" t="n">
        <x:v>46100</x:v>
      </x:c>
      <x:c r="D259" s="124" t="n">
        <x:v>46111</x:v>
      </x:c>
      <x:c r="E259" s="125" t="n">
        <x:v>71246.55</x:v>
      </x:c>
      <x:c r="F259" s="125" t="n">
        <x:v>66010.93</x:v>
      </x:c>
      <x:c r="G259" s="120" t="n">
        <x:v>11</x:v>
      </x:c>
      <x:c r="H259" s="125" t="n">
        <x:v>-754.1245828745406</x:v>
      </x:c>
      <x:c r="I259" s="126" t="n">
        <x:f>H259/'Data &amp; Targets'!$C$34</x:f>
        <x:v>-0.07541245828745406</x:v>
      </x:c>
      <x:c r="J259" s="126" t="n">
        <x:v>0.010941442076844332</x:v>
      </x:c>
      <x:c r="K259" s="120" t="str">
        <x:v>已平仓</x:v>
      </x:c>
      <x:c r="L259" s="120" t="str">
        <x:f>IF(K259="未平仓","浮盈未实现",IF(I259&gt;='Data &amp; Targets'!$C$31,"大收益交易",IF(I259&lt;0,"亏损","普通盈利")))</x:f>
        <x:v>亏损</x:v>
      </x:c>
      <x:c r="M259" s="120" t="str">
        <x:v>EMA52-2ATR cross</x:v>
      </x:c>
      <x:c r="N259" s="120" t="str">
        <x:v>rearm_atr_cross</x:v>
      </x:c>
    </x:row>
    <x:row r="260" ht="23" customHeight="1">
      <x:c r="A260" s="120" t="str">
        <x:v>状态补入2ATR下穿</x:v>
      </x:c>
      <x:c r="B260" s="120" t="str">
        <x:v>多</x:v>
      </x:c>
      <x:c r="C260" s="124" t="n">
        <x:v>46124</x:v>
      </x:c>
      <x:c r="D260" s="124" t="n">
        <x:v>46175</x:v>
      </x:c>
      <x:c r="E260" s="125" t="n">
        <x:v>73043.16</x:v>
      </x:c>
      <x:c r="F260" s="125" t="n">
        <x:v>71408.9</x:v>
      </x:c>
      <x:c r="G260" s="120" t="n">
        <x:v>51</x:v>
      </x:c>
      <x:c r="H260" s="125" t="n">
        <x:v>-243.51521210199684</x:v>
      </x:c>
      <x:c r="I260" s="126" t="n">
        <x:f>H260/'Data &amp; Targets'!$C$34</x:f>
        <x:v>-0.024351521210199685</x:v>
      </x:c>
      <x:c r="J260" s="126" t="n">
        <x:v>0.13426089451770706</x:v>
      </x:c>
      <x:c r="K260" s="120" t="str">
        <x:v>已平仓</x:v>
      </x:c>
      <x:c r="L260" s="120" t="str">
        <x:f>IF(K260="未平仓","浮盈未实现",IF(I260&gt;='Data &amp; Targets'!$C$31,"大收益交易",IF(I260&lt;0,"亏损","普通盈利")))</x:f>
        <x:v>亏损</x:v>
      </x:c>
      <x:c r="M260" s="120" t="str">
        <x:v>EMA52-2ATR cross</x:v>
      </x:c>
      <x:c r="N260" s="120" t="str">
        <x:v>rearm_atr_cross</x:v>
      </x:c>
    </x:row>
    <x:row r="261" ht="23" customHeight="1">
      <x:c r="A261" s="120" t="str">
        <x:v>状态补入2ATR下穿</x:v>
      </x:c>
      <x:c r="B261" s="120" t="str">
        <x:v>多</x:v>
      </x:c>
      <x:c r="C261" s="124" t="n">
        <x:v>46225</x:v>
      </x:c>
      <x:c r="D261" s="124"/>
      <x:c r="E261" s="125" t="n">
        <x:v>66556.15</x:v>
      </x:c>
      <x:c r="F261" s="125" t="n">
        <x:v>80341.83</x:v>
      </x:c>
      <x:c r="G261" s="120" t="n">
        <x:v>46</x:v>
      </x:c>
      <x:c r="H261" s="125" t="n">
        <x:v>2061.285673825786</x:v>
      </x:c>
      <x:c r="I261" s="126" t="n">
        <x:f>H261/'Data &amp; Targets'!$C$34</x:f>
        <x:v>0.2061285673825786</x:v>
      </x:c>
      <x:c r="J261" s="126"/>
      <x:c r="K261" s="120" t="str">
        <x:v>未平仓</x:v>
      </x:c>
      <x:c r="L261" s="120" t="str">
        <x:f>IF(K261="未平仓","浮盈未实现",IF(I261&gt;='Data &amp; Targets'!$C$31,"大收益交易",IF(I261&lt;0,"亏损","普通盈利")))</x:f>
        <x:v>浮盈未实现</x:v>
      </x:c>
      <x:c r="M261" s="120" t="str">
        <x:v>期末按收盘估值；仅扣已付开仓费</x:v>
      </x:c>
      <x:c r="N261" s="120" t="str">
        <x:v>rearm_atr_cross</x:v>
      </x:c>
    </x:row>
    <x:row r="262" ht="23" customHeight="1">
      <x:c r="A262" s="120" t="str">
        <x:v>状态补入2ATR低于</x:v>
      </x:c>
      <x:c r="B262" s="120" t="str">
        <x:v>多</x:v>
      </x:c>
      <x:c r="C262" s="124" t="n">
        <x:v>45330</x:v>
      </x:c>
      <x:c r="D262" s="124" t="n">
        <x:v>45468</x:v>
      </x:c>
      <x:c r="E262" s="125" t="n">
        <x:v>44349.6</x:v>
      </x:c>
      <x:c r="F262" s="125" t="n">
        <x:v>60293.3</x:v>
      </x:c>
      <x:c r="G262" s="120" t="n">
        <x:v>138</x:v>
      </x:c>
      <x:c r="H262" s="125" t="n">
        <x:v>3571.4092348070794</x:v>
      </x:c>
      <x:c r="I262" s="126" t="n">
        <x:f>H262/'Data &amp; Targets'!$C$34</x:f>
        <x:v>0.3571409234807079</x:v>
      </x:c>
      <x:c r="J262" s="126" t="n">
        <x:v>0.6635324783087109</x:v>
      </x:c>
      <x:c r="K262" s="120" t="str">
        <x:v>已平仓</x:v>
      </x:c>
      <x:c r="L262" s="120" t="str">
        <x:f>IF(K262="未平仓","浮盈未实现",IF(I262&gt;='Data &amp; Targets'!$C$31,"大收益交易",IF(I262&lt;0,"亏损","普通盈利")))</x:f>
        <x:v>大收益交易</x:v>
      </x:c>
      <x:c r="M262" s="120" t="str">
        <x:v>EMA52-2ATR level</x:v>
      </x:c>
      <x:c r="N262" s="120" t="str">
        <x:v>rearm_atr_level</x:v>
      </x:c>
    </x:row>
    <x:row r="263" ht="23" customHeight="1">
      <x:c r="A263" s="120" t="str">
        <x:v>状态补入2ATR低于</x:v>
      </x:c>
      <x:c r="B263" s="120" t="str">
        <x:v>多</x:v>
      </x:c>
      <x:c r="C263" s="124" t="n">
        <x:v>45497</x:v>
      </x:c>
      <x:c r="D263" s="124" t="n">
        <x:v>45509</x:v>
      </x:c>
      <x:c r="E263" s="125" t="n">
        <x:v>65936</x:v>
      </x:c>
      <x:c r="F263" s="125" t="n">
        <x:v>58161</x:v>
      </x:c>
      <x:c r="G263" s="120" t="n">
        <x:v>12</x:v>
      </x:c>
      <x:c r="H263" s="125" t="n">
        <x:v>-1197.994570492599</x:v>
      </x:c>
      <x:c r="I263" s="126" t="n">
        <x:f>H263/'Data &amp; Targets'!$C$34</x:f>
        <x:v>-0.1197994570492599</x:v>
      </x:c>
      <x:c r="J263" s="126" t="n">
        <x:v>0.0628486714389711</x:v>
      </x:c>
      <x:c r="K263" s="120" t="str">
        <x:v>已平仓</x:v>
      </x:c>
      <x:c r="L263" s="120" t="str">
        <x:f>IF(K263="未平仓","浮盈未实现",IF(I263&gt;='Data &amp; Targets'!$C$31,"大收益交易",IF(I263&lt;0,"亏损","普通盈利")))</x:f>
        <x:v>亏损</x:v>
      </x:c>
      <x:c r="M263" s="120" t="str">
        <x:v>EMA52-2ATR level</x:v>
      </x:c>
      <x:c r="N263" s="120" t="str">
        <x:v>rearm_atr_level</x:v>
      </x:c>
    </x:row>
    <x:row r="264" ht="23" customHeight="1">
      <x:c r="A264" s="120" t="str">
        <x:v>状态补入2ATR低于</x:v>
      </x:c>
      <x:c r="B264" s="120" t="str">
        <x:v>多</x:v>
      </x:c>
      <x:c r="C264" s="124" t="n">
        <x:v>45558</x:v>
      </x:c>
      <x:c r="D264" s="124" t="n">
        <x:v>45714</x:v>
      </x:c>
      <x:c r="E264" s="125" t="n">
        <x:v>63578.76</x:v>
      </x:c>
      <x:c r="F264" s="125" t="n">
        <x:v>88680.39</x:v>
      </x:c>
      <x:c r="G264" s="120" t="n">
        <x:v>156</x:v>
      </x:c>
      <x:c r="H264" s="125" t="n">
        <x:v>3924.167575775306</x:v>
      </x:c>
      <x:c r="I264" s="126" t="n">
        <x:f>H264/'Data &amp; Targets'!$C$34</x:f>
        <x:v>0.3924167575775306</x:v>
      </x:c>
      <x:c r="J264" s="126" t="n">
        <x:v>0.72365739753339</x:v>
      </x:c>
      <x:c r="K264" s="120" t="str">
        <x:v>已平仓</x:v>
      </x:c>
      <x:c r="L264" s="120" t="str">
        <x:f>IF(K264="未平仓","浮盈未实现",IF(I264&gt;='Data &amp; Targets'!$C$31,"大收益交易",IF(I264&lt;0,"亏损","普通盈利")))</x:f>
        <x:v>大收益交易</x:v>
      </x:c>
      <x:c r="M264" s="120" t="str">
        <x:v>EMA52-2ATR level</x:v>
      </x:c>
      <x:c r="N264" s="120" t="str">
        <x:v>rearm_atr_level</x:v>
      </x:c>
    </x:row>
    <x:row r="265" ht="23" customHeight="1">
      <x:c r="A265" s="120" t="str">
        <x:v>状态补入2ATR低于</x:v>
      </x:c>
      <x:c r="B265" s="120" t="str">
        <x:v>多</x:v>
      </x:c>
      <x:c r="C265" s="124" t="n">
        <x:v>45809</x:v>
      </x:c>
      <x:c r="D265" s="124" t="n">
        <x:v>45966</x:v>
      </x:c>
      <x:c r="E265" s="125" t="n">
        <x:v>104591.88</x:v>
      </x:c>
      <x:c r="F265" s="125" t="n">
        <x:v>101497.23</x:v>
      </x:c>
      <x:c r="G265" s="120" t="n">
        <x:v>157</x:v>
      </x:c>
      <x:c r="H265" s="125" t="n">
        <x:v>-315.5827307052907</x:v>
      </x:c>
      <x:c r="I265" s="126" t="n">
        <x:f>H265/'Data &amp; Targets'!$C$34</x:f>
        <x:v>-0.03155827307052907</x:v>
      </x:c>
      <x:c r="J265" s="126" t="n">
        <x:v>0.2065910852735413</x:v>
      </x:c>
      <x:c r="K265" s="120" t="str">
        <x:v>已平仓</x:v>
      </x:c>
      <x:c r="L265" s="120" t="str">
        <x:f>IF(K265="未平仓","浮盈未实现",IF(I265&gt;='Data &amp; Targets'!$C$31,"大收益交易",IF(I265&lt;0,"亏损","普通盈利")))</x:f>
        <x:v>亏损</x:v>
      </x:c>
      <x:c r="M265" s="120" t="str">
        <x:v>EMA52-2ATR level</x:v>
      </x:c>
      <x:c r="N265" s="120" t="str">
        <x:v>rearm_atr_level</x:v>
      </x:c>
    </x:row>
    <x:row r="266" ht="23" customHeight="1">
      <x:c r="A266" s="120" t="str">
        <x:v>状态补入2ATR低于</x:v>
      </x:c>
      <x:c r="B266" s="120" t="str">
        <x:v>多</x:v>
      </x:c>
      <x:c r="C266" s="124" t="n">
        <x:v>46032</x:v>
      </x:c>
      <x:c r="D266" s="124" t="n">
        <x:v>46048</x:v>
      </x:c>
      <x:c r="E266" s="125" t="n">
        <x:v>90641.27</x:v>
      </x:c>
      <x:c r="F266" s="125" t="n">
        <x:v>86670.36</x:v>
      </x:c>
      <x:c r="G266" s="120" t="n">
        <x:v>16</x:v>
      </x:c>
      <x:c r="H266" s="125" t="n">
        <x:v>-457.65263770024444</x:v>
      </x:c>
      <x:c r="I266" s="126" t="n">
        <x:f>H266/'Data &amp; Targets'!$C$34</x:f>
        <x:v>-0.04576526377002445</x:v>
      </x:c>
      <x:c r="J266" s="126" t="n">
        <x:v>0.08035213981445753</x:v>
      </x:c>
      <x:c r="K266" s="120" t="str">
        <x:v>已平仓</x:v>
      </x:c>
      <x:c r="L266" s="120" t="str">
        <x:f>IF(K266="未平仓","浮盈未实现",IF(I266&gt;='Data &amp; Targets'!$C$31,"大收益交易",IF(I266&lt;0,"亏损","普通盈利")))</x:f>
        <x:v>亏损</x:v>
      </x:c>
      <x:c r="M266" s="120" t="str">
        <x:v>EMA52-2ATR level</x:v>
      </x:c>
      <x:c r="N266" s="120" t="str">
        <x:v>rearm_atr_level</x:v>
      </x:c>
    </x:row>
    <x:row r="267" ht="23" customHeight="1">
      <x:c r="A267" s="120" t="str">
        <x:v>状态补入2ATR低于</x:v>
      </x:c>
      <x:c r="B267" s="120" t="str">
        <x:v>多</x:v>
      </x:c>
      <x:c r="C267" s="124" t="n">
        <x:v>46100</x:v>
      </x:c>
      <x:c r="D267" s="124" t="n">
        <x:v>46111</x:v>
      </x:c>
      <x:c r="E267" s="125" t="n">
        <x:v>71246.55</x:v>
      </x:c>
      <x:c r="F267" s="125" t="n">
        <x:v>66010.93</x:v>
      </x:c>
      <x:c r="G267" s="120" t="n">
        <x:v>11</x:v>
      </x:c>
      <x:c r="H267" s="125" t="n">
        <x:v>-754.1245828745406</x:v>
      </x:c>
      <x:c r="I267" s="126" t="n">
        <x:f>H267/'Data &amp; Targets'!$C$34</x:f>
        <x:v>-0.07541245828745406</x:v>
      </x:c>
      <x:c r="J267" s="126" t="n">
        <x:v>0.010941442076844332</x:v>
      </x:c>
      <x:c r="K267" s="120" t="str">
        <x:v>已平仓</x:v>
      </x:c>
      <x:c r="L267" s="120" t="str">
        <x:f>IF(K267="未平仓","浮盈未实现",IF(I267&gt;='Data &amp; Targets'!$C$31,"大收益交易",IF(I267&lt;0,"亏损","普通盈利")))</x:f>
        <x:v>亏损</x:v>
      </x:c>
      <x:c r="M267" s="120" t="str">
        <x:v>EMA52-2ATR level</x:v>
      </x:c>
      <x:c r="N267" s="120" t="str">
        <x:v>rearm_atr_level</x:v>
      </x:c>
    </x:row>
    <x:row r="268" ht="23" customHeight="1">
      <x:c r="A268" s="120" t="str">
        <x:v>状态补入2ATR低于</x:v>
      </x:c>
      <x:c r="B268" s="120" t="str">
        <x:v>多</x:v>
      </x:c>
      <x:c r="C268" s="124" t="n">
        <x:v>46124</x:v>
      </x:c>
      <x:c r="D268" s="124" t="n">
        <x:v>46175</x:v>
      </x:c>
      <x:c r="E268" s="125" t="n">
        <x:v>73043.16</x:v>
      </x:c>
      <x:c r="F268" s="125" t="n">
        <x:v>71408.9</x:v>
      </x:c>
      <x:c r="G268" s="120" t="n">
        <x:v>51</x:v>
      </x:c>
      <x:c r="H268" s="125" t="n">
        <x:v>-243.51521210199684</x:v>
      </x:c>
      <x:c r="I268" s="126" t="n">
        <x:f>H268/'Data &amp; Targets'!$C$34</x:f>
        <x:v>-0.024351521210199685</x:v>
      </x:c>
      <x:c r="J268" s="126" t="n">
        <x:v>0.13426089451770706</x:v>
      </x:c>
      <x:c r="K268" s="120" t="str">
        <x:v>已平仓</x:v>
      </x:c>
      <x:c r="L268" s="120" t="str">
        <x:f>IF(K268="未平仓","浮盈未实现",IF(I268&gt;='Data &amp; Targets'!$C$31,"大收益交易",IF(I268&lt;0,"亏损","普通盈利")))</x:f>
        <x:v>亏损</x:v>
      </x:c>
      <x:c r="M268" s="120" t="str">
        <x:v>EMA52-2ATR level</x:v>
      </x:c>
      <x:c r="N268" s="120" t="str">
        <x:v>rearm_atr_level</x:v>
      </x:c>
    </x:row>
    <x:row r="269" ht="23" customHeight="1">
      <x:c r="A269" s="120" t="str">
        <x:v>状态补入2ATR低于</x:v>
      </x:c>
      <x:c r="B269" s="120" t="str">
        <x:v>多</x:v>
      </x:c>
      <x:c r="C269" s="124" t="n">
        <x:v>46225</x:v>
      </x:c>
      <x:c r="D269" s="124"/>
      <x:c r="E269" s="125" t="n">
        <x:v>66556.15</x:v>
      </x:c>
      <x:c r="F269" s="125" t="n">
        <x:v>80341.83</x:v>
      </x:c>
      <x:c r="G269" s="120" t="n">
        <x:v>46</x:v>
      </x:c>
      <x:c r="H269" s="125" t="n">
        <x:v>2061.285673825786</x:v>
      </x:c>
      <x:c r="I269" s="126" t="n">
        <x:f>H269/'Data &amp; Targets'!$C$34</x:f>
        <x:v>0.2061285673825786</x:v>
      </x:c>
      <x:c r="J269" s="126"/>
      <x:c r="K269" s="120" t="str">
        <x:v>未平仓</x:v>
      </x:c>
      <x:c r="L269" s="120" t="str">
        <x:f>IF(K269="未平仓","浮盈未实现",IF(I269&gt;='Data &amp; Targets'!$C$31,"大收益交易",IF(I269&lt;0,"亏损","普通盈利")))</x:f>
        <x:v>浮盈未实现</x:v>
      </x:c>
      <x:c r="M269" s="120" t="str">
        <x:v>期末按收盘估值；仅扣已付开仓费</x:v>
      </x:c>
      <x:c r="N269" s="120" t="str">
        <x:v>rearm_atr_level</x:v>
      </x:c>
    </x:row>
    <x:row r="270" ht="23" customHeight="1">
      <x:c r="A270" s="120" t="str">
        <x:v>EMA25 ADX14 &gt;= 20</x:v>
      </x:c>
      <x:c r="B270" s="120" t="str">
        <x:v>多</x:v>
      </x:c>
      <x:c r="C270" s="124" t="n">
        <x:v>45372</x:v>
      </x:c>
      <x:c r="D270" s="124" t="n">
        <x:v>45396</x:v>
      </x:c>
      <x:c r="E270" s="125" t="n">
        <x:v>67840.51</x:v>
      </x:c>
      <x:c r="F270" s="125" t="n">
        <x:v>63924.52</x:v>
      </x:c>
      <x:c r="G270" s="120" t="n">
        <x:v>24</x:v>
      </x:c>
      <x:c r="H270" s="125" t="n">
        <x:v>-596.6575177574576</x:v>
      </x:c>
      <x:c r="I270" s="126" t="n">
        <x:f>H270/'Data &amp; Targets'!$C$34</x:f>
        <x:v>-0.05966575177574576</x:v>
      </x:c>
      <x:c r="J270" s="126" t="n">
        <x:v>0.07307551196180584</x:v>
      </x:c>
      <x:c r="K270" s="120" t="str">
        <x:v>已平仓</x:v>
      </x:c>
      <x:c r="L270" s="120" t="str">
        <x:f>IF(K270="未平仓","浮盈未实现",IF(I270&gt;='Data &amp; Targets'!$C$31,"大收益交易",IF(I270&lt;0,"亏损","普通盈利")))</x:f>
        <x:v>亏损</x:v>
      </x:c>
      <x:c r="M270" s="120" t="str">
        <x:v>EMA52-300 cross</x:v>
      </x:c>
      <x:c r="N270" s="120" t="str">
        <x:v>ema25_adx20</x:v>
      </x:c>
    </x:row>
    <x:row r="271" ht="23" customHeight="1">
      <x:c r="A271" s="120" t="str">
        <x:v>EMA25 ADX14 &gt;= 20</x:v>
      </x:c>
      <x:c r="B271" s="120" t="str">
        <x:v>多</x:v>
      </x:c>
      <x:c r="C271" s="124" t="n">
        <x:v>45405</x:v>
      </x:c>
      <x:c r="D271" s="124" t="n">
        <x:v>45409</x:v>
      </x:c>
      <x:c r="E271" s="125" t="n">
        <x:v>66819.32</x:v>
      </x:c>
      <x:c r="F271" s="125" t="n">
        <x:v>63770</x:v>
      </x:c>
      <x:c r="G271" s="120" t="n">
        <x:v>4</x:v>
      </x:c>
      <x:c r="H271" s="125" t="n">
        <x:v>-475.896689759789</x:v>
      </x:c>
      <x:c r="I271" s="126" t="n">
        <x:f>H271/'Data &amp; Targets'!$C$34</x:f>
        <x:v>-0.047589668975978903</x:v>
      </x:c>
      <x:c r="J271" s="126" t="n">
        <x:v>0.005442886877627506</x:v>
      </x:c>
      <x:c r="K271" s="120" t="str">
        <x:v>已平仓</x:v>
      </x:c>
      <x:c r="L271" s="120" t="str">
        <x:f>IF(K271="未平仓","浮盈未实现",IF(I271&gt;='Data &amp; Targets'!$C$31,"大收益交易",IF(I271&lt;0,"亏损","普通盈利")))</x:f>
        <x:v>亏损</x:v>
      </x:c>
      <x:c r="M271" s="120" t="str">
        <x:v>EMA52-300 cross</x:v>
      </x:c>
      <x:c r="N271" s="120" t="str">
        <x:v>ema25_adx20</x:v>
      </x:c>
    </x:row>
    <x:row r="272" ht="23" customHeight="1">
      <x:c r="A272" s="120" t="str">
        <x:v>EMA25 ADX14 &gt;= 20</x:v>
      </x:c>
      <x:c r="B272" s="120" t="str">
        <x:v>多</x:v>
      </x:c>
      <x:c r="C272" s="124" t="n">
        <x:v>45506</x:v>
      </x:c>
      <x:c r="D272" s="124" t="n">
        <x:v>45507</x:v>
      </x:c>
      <x:c r="E272" s="125" t="n">
        <x:v>65354.02</x:v>
      </x:c>
      <x:c r="F272" s="125" t="n">
        <x:v>61498.34</x:v>
      </x:c>
      <x:c r="G272" s="120" t="n">
        <x:v>1</x:v>
      </x:c>
      <x:c r="H272" s="125" t="n">
        <x:v>-609.378330514328</x:v>
      </x:c>
      <x:c r="I272" s="126" t="n">
        <x:f>H272/'Data &amp; Targets'!$C$34</x:f>
        <x:v>-0.0609378330514328</x:v>
      </x:c>
      <x:c r="J272" s="126" t="n">
        <x:v>0.00370474532400622</x:v>
      </x:c>
      <x:c r="K272" s="120" t="str">
        <x:v>已平仓</x:v>
      </x:c>
      <x:c r="L272" s="120" t="str">
        <x:f>IF(K272="未平仓","浮盈未实现",IF(I272&gt;='Data &amp; Targets'!$C$31,"大收益交易",IF(I272&lt;0,"亏损","普通盈利")))</x:f>
        <x:v>亏损</x:v>
      </x:c>
      <x:c r="M272" s="120" t="str">
        <x:v>EMA52-300 cross</x:v>
      </x:c>
      <x:c r="N272" s="120" t="str">
        <x:v>ema25_adx20</x:v>
      </x:c>
    </x:row>
    <x:row r="273" ht="23" customHeight="1">
      <x:c r="A273" s="120" t="str">
        <x:v>EMA25 ADX14 &gt;= 20</x:v>
      </x:c>
      <x:c r="B273" s="120" t="str">
        <x:v>多</x:v>
      </x:c>
      <x:c r="C273" s="124" t="n">
        <x:v>45570</x:v>
      </x:c>
      <x:c r="D273" s="124" t="n">
        <x:v>45575</x:v>
      </x:c>
      <x:c r="E273" s="125" t="n">
        <x:v>62086</x:v>
      </x:c>
      <x:c r="F273" s="125" t="n">
        <x:v>60636.01</x:v>
      </x:c>
      <x:c r="G273" s="120" t="n">
        <x:v>5</x:v>
      </x:c>
      <x:c r="H273" s="125" t="n">
        <x:v>-253.3118593563763</x:v>
      </x:c>
      <x:c r="I273" s="126" t="n">
        <x:f>H273/'Data &amp; Targets'!$C$34</x:f>
        <x:v>-0.02533118593563763</x:v>
      </x:c>
      <x:c r="J273" s="126" t="n">
        <x:v>0.0385302644718617</x:v>
      </x:c>
      <x:c r="K273" s="120" t="str">
        <x:v>已平仓</x:v>
      </x:c>
      <x:c r="L273" s="120" t="str">
        <x:f>IF(K273="未平仓","浮盈未实现",IF(I273&gt;='Data &amp; Targets'!$C$31,"大收益交易",IF(I273&lt;0,"亏损","普通盈利")))</x:f>
        <x:v>亏损</x:v>
      </x:c>
      <x:c r="M273" s="120" t="str">
        <x:v>EMA52-300 cross</x:v>
      </x:c>
      <x:c r="N273" s="120" t="str">
        <x:v>ema25_adx20</x:v>
      </x:c>
    </x:row>
    <x:row r="274" ht="23" customHeight="1">
      <x:c r="A274" s="120" t="str">
        <x:v>EMA25 ADX14 &gt;= 20</x:v>
      </x:c>
      <x:c r="B274" s="120" t="str">
        <x:v>多</x:v>
      </x:c>
      <x:c r="C274" s="124" t="n">
        <x:v>45651</x:v>
      </x:c>
      <x:c r="D274" s="124" t="n">
        <x:v>45667</x:v>
      </x:c>
      <x:c r="E274" s="125" t="n">
        <x:v>98663.58</x:v>
      </x:c>
      <x:c r="F274" s="125" t="n">
        <x:v>92552.49</x:v>
      </x:c>
      <x:c r="G274" s="120" t="n">
        <x:v>16</x:v>
      </x:c>
      <x:c r="H274" s="125" t="n">
        <x:v>-638.7672198799189</x:v>
      </x:c>
      <x:c r="I274" s="126" t="n">
        <x:f>H274/'Data &amp; Targets'!$C$34</x:f>
        <x:v>-0.0638767219879919</x:v>
      </x:c>
      <x:c r="J274" s="126" t="n">
        <x:v>0.041158044336116806</x:v>
      </x:c>
      <x:c r="K274" s="120" t="str">
        <x:v>已平仓</x:v>
      </x:c>
      <x:c r="L274" s="120" t="str">
        <x:f>IF(K274="未平仓","浮盈未实现",IF(I274&gt;='Data &amp; Targets'!$C$31,"大收益交易",IF(I274&lt;0,"亏损","普通盈利")))</x:f>
        <x:v>亏损</x:v>
      </x:c>
      <x:c r="M274" s="120" t="str">
        <x:v>EMA52-300 cross</x:v>
      </x:c>
      <x:c r="N274" s="120" t="str">
        <x:v>ema25_adx20</x:v>
      </x:c>
    </x:row>
    <x:row r="275" ht="23" customHeight="1">
      <x:c r="A275" s="120" t="str">
        <x:v>EMA25 ADX14 &gt;= 20</x:v>
      </x:c>
      <x:c r="B275" s="120" t="str">
        <x:v>多</x:v>
      </x:c>
      <x:c r="C275" s="124" t="n">
        <x:v>45809</x:v>
      </x:c>
      <x:c r="D275" s="124" t="n">
        <x:v>45830</x:v>
      </x:c>
      <x:c r="E275" s="125" t="n">
        <x:v>104591.88</x:v>
      </x:c>
      <x:c r="F275" s="125" t="n">
        <x:v>102120.02</x:v>
      </x:c>
      <x:c r="G275" s="120" t="n">
        <x:v>21</x:v>
      </x:c>
      <x:c r="H275" s="125" t="n">
        <x:v>-256.0975001118634</x:v>
      </x:c>
      <x:c r="I275" s="126" t="n">
        <x:f>H275/'Data &amp; Targets'!$C$34</x:f>
        <x:v>-0.025609750011186337</x:v>
      </x:c>
      <x:c r="J275" s="126" t="n">
        <x:v>0.056775822367854945</x:v>
      </x:c>
      <x:c r="K275" s="120" t="str">
        <x:v>已平仓</x:v>
      </x:c>
      <x:c r="L275" s="120" t="str">
        <x:f>IF(K275="未平仓","浮盈未实现",IF(I275&gt;='Data &amp; Targets'!$C$31,"大收益交易",IF(I275&lt;0,"亏损","普通盈利")))</x:f>
        <x:v>亏损</x:v>
      </x:c>
      <x:c r="M275" s="120" t="str">
        <x:v>EMA52-300 cross</x:v>
      </x:c>
      <x:c r="N275" s="120" t="str">
        <x:v>ema25_adx20</x:v>
      </x:c>
    </x:row>
    <x:row r="276" ht="23" customHeight="1">
      <x:c r="A276" s="120" t="str">
        <x:v>EMA25 ADX14 &gt;= 20</x:v>
      </x:c>
      <x:c r="B276" s="120" t="str">
        <x:v>多</x:v>
      </x:c>
      <x:c r="C276" s="124" t="n">
        <x:v>46229</x:v>
      </x:c>
      <x:c r="D276" s="124" t="n">
        <x:v>46231</x:v>
      </x:c>
      <x:c r="E276" s="125" t="n">
        <x:v>64375.01</x:v>
      </x:c>
      <x:c r="F276" s="125" t="n">
        <x:v>63755.86</x:v>
      </x:c>
      <x:c r="G276" s="120" t="n">
        <x:v>2</x:v>
      </x:c>
      <x:c r="H276" s="125" t="n">
        <x:v>-116.08244721049385</x:v>
      </x:c>
      <x:c r="I276" s="126" t="n">
        <x:f>H276/'Data &amp; Targets'!$C$34</x:f>
        <x:v>-0.011608244721049385</x:v>
      </x:c>
      <x:c r="J276" s="126" t="n">
        <x:v>0.021275181161136913</x:v>
      </x:c>
      <x:c r="K276" s="120" t="str">
        <x:v>已平仓</x:v>
      </x:c>
      <x:c r="L276" s="120" t="str">
        <x:f>IF(K276="未平仓","浮盈未实现",IF(I276&gt;='Data &amp; Targets'!$C$31,"大收益交易",IF(I276&lt;0,"亏损","普通盈利")))</x:f>
        <x:v>亏损</x:v>
      </x:c>
      <x:c r="M276" s="120" t="str">
        <x:v>EMA52-300 cross</x:v>
      </x:c>
      <x:c r="N276" s="120" t="str">
        <x:v>ema25_adx20</x:v>
      </x:c>
    </x:row>
    <x:row r="277" ht="23" customHeight="1">
      <x:c r="A277" s="120" t="str">
        <x:v>EMA25 ADX14 &gt;= 20</x:v>
      </x:c>
      <x:c r="B277" s="120" t="str">
        <x:v>多</x:v>
      </x:c>
      <x:c r="C277" s="124" t="n">
        <x:v>46234</x:v>
      </x:c>
      <x:c r="D277" s="124" t="n">
        <x:v>46235</x:v>
      </x:c>
      <x:c r="E277" s="125" t="n">
        <x:v>64780.03</x:v>
      </x:c>
      <x:c r="F277" s="125" t="n">
        <x:v>62887.88</x:v>
      </x:c>
      <x:c r="G277" s="120" t="n">
        <x:v>1</x:v>
      </x:c>
      <x:c r="H277" s="125" t="n">
        <x:v>-311.79638385471594</x:v>
      </x:c>
      <x:c r="I277" s="126" t="n">
        <x:f>H277/'Data &amp; Targets'!$C$34</x:f>
        <x:v>-0.031179638385471595</x:v>
      </x:c>
      <x:c r="J277" s="126" t="n">
        <x:v>0.009717964008352453</x:v>
      </x:c>
      <x:c r="K277" s="120" t="str">
        <x:v>已平仓</x:v>
      </x:c>
      <x:c r="L277" s="120" t="str">
        <x:f>IF(K277="未平仓","浮盈未实现",IF(I277&gt;='Data &amp; Targets'!$C$31,"大收益交易",IF(I277&lt;0,"亏损","普通盈利")))</x:f>
        <x:v>亏损</x:v>
      </x:c>
      <x:c r="M277" s="120" t="str">
        <x:v>EMA52-300 cross</x:v>
      </x:c>
      <x:c r="N277" s="120" t="str">
        <x:v>ema25_adx20</x:v>
      </x:c>
    </x:row>
    <x:row r="278" ht="23" customHeight="1">
      <x:c r="A278" s="120" t="str">
        <x:v>EMA25 ADX14 &gt;= 20</x:v>
      </x:c>
      <x:c r="B278" s="120" t="str">
        <x:v>多</x:v>
      </x:c>
      <x:c r="C278" s="124" t="n">
        <x:v>46239</x:v>
      </x:c>
      <x:c r="D278" s="124" t="n">
        <x:v>46241</x:v>
      </x:c>
      <x:c r="E278" s="125" t="n">
        <x:v>64106.55</x:v>
      </x:c>
      <x:c r="F278" s="125" t="n">
        <x:v>64323.61</x:v>
      </x:c>
      <x:c r="G278" s="120" t="n">
        <x:v>2</x:v>
      </x:c>
      <x:c r="H278" s="125" t="n">
        <x:v>13.8253953769151</x:v>
      </x:c>
      <x:c r="I278" s="126" t="n">
        <x:f>H278/'Data &amp; Targets'!$C$34</x:f>
        <x:v>0.00138253953769151</x:v>
      </x:c>
      <x:c r="J278" s="126" t="n">
        <x:v>0.014330360938156872</x:v>
      </x:c>
      <x:c r="K278" s="120" t="str">
        <x:v>已平仓</x:v>
      </x:c>
      <x:c r="L278" s="120" t="str">
        <x:f>IF(K278="未平仓","浮盈未实现",IF(I278&gt;='Data &amp; Targets'!$C$31,"大收益交易",IF(I278&lt;0,"亏损","普通盈利")))</x:f>
        <x:v>普通盈利</x:v>
      </x:c>
      <x:c r="M278" s="120" t="str">
        <x:v>EMA52-300 cross</x:v>
      </x:c>
      <x:c r="N278" s="120" t="str">
        <x:v>ema25_adx20</x:v>
      </x:c>
    </x:row>
    <x:row r="279" ht="23" customHeight="1">
      <x:c r="A279" s="120" t="str">
        <x:v>EMA25 ADX14 &gt;= 25</x:v>
      </x:c>
      <x:c r="B279" s="120" t="str">
        <x:v>多</x:v>
      </x:c>
      <x:c r="C279" s="124" t="n">
        <x:v>45372</x:v>
      </x:c>
      <x:c r="D279" s="124" t="n">
        <x:v>45396</x:v>
      </x:c>
      <x:c r="E279" s="125" t="n">
        <x:v>67840.51</x:v>
      </x:c>
      <x:c r="F279" s="125" t="n">
        <x:v>63924.52</x:v>
      </x:c>
      <x:c r="G279" s="120" t="n">
        <x:v>24</x:v>
      </x:c>
      <x:c r="H279" s="125" t="n">
        <x:v>-596.6575177574576</x:v>
      </x:c>
      <x:c r="I279" s="126" t="n">
        <x:f>H279/'Data &amp; Targets'!$C$34</x:f>
        <x:v>-0.05966575177574576</x:v>
      </x:c>
      <x:c r="J279" s="126" t="n">
        <x:v>0.07307551196180584</x:v>
      </x:c>
      <x:c r="K279" s="120" t="str">
        <x:v>已平仓</x:v>
      </x:c>
      <x:c r="L279" s="120" t="str">
        <x:f>IF(K279="未平仓","浮盈未实现",IF(I279&gt;='Data &amp; Targets'!$C$31,"大收益交易",IF(I279&lt;0,"亏损","普通盈利")))</x:f>
        <x:v>亏损</x:v>
      </x:c>
      <x:c r="M279" s="120" t="str">
        <x:v>EMA52-300 cross</x:v>
      </x:c>
      <x:c r="N279" s="120" t="str">
        <x:v>ema25_adx25</x:v>
      </x:c>
    </x:row>
    <x:row r="280" ht="23" customHeight="1">
      <x:c r="A280" s="120" t="str">
        <x:v>EMA25 ADX14 &gt;= 25</x:v>
      </x:c>
      <x:c r="B280" s="120" t="str">
        <x:v>多</x:v>
      </x:c>
      <x:c r="C280" s="124" t="n">
        <x:v>45651</x:v>
      </x:c>
      <x:c r="D280" s="124" t="n">
        <x:v>45667</x:v>
      </x:c>
      <x:c r="E280" s="125" t="n">
        <x:v>98663.58</x:v>
      </x:c>
      <x:c r="F280" s="125" t="n">
        <x:v>92552.49</x:v>
      </x:c>
      <x:c r="G280" s="120" t="n">
        <x:v>16</x:v>
      </x:c>
      <x:c r="H280" s="125" t="n">
        <x:v>-638.7672198799189</x:v>
      </x:c>
      <x:c r="I280" s="126" t="n">
        <x:f>H280/'Data &amp; Targets'!$C$34</x:f>
        <x:v>-0.0638767219879919</x:v>
      </x:c>
      <x:c r="J280" s="126" t="n">
        <x:v>0.041158044336116806</x:v>
      </x:c>
      <x:c r="K280" s="120" t="str">
        <x:v>已平仓</x:v>
      </x:c>
      <x:c r="L280" s="120" t="str">
        <x:f>IF(K280="未平仓","浮盈未实现",IF(I280&gt;='Data &amp; Targets'!$C$31,"大收益交易",IF(I280&lt;0,"亏损","普通盈利")))</x:f>
        <x:v>亏损</x:v>
      </x:c>
      <x:c r="M280" s="120" t="str">
        <x:v>EMA52-300 cross</x:v>
      </x:c>
      <x:c r="N280" s="120" t="str">
        <x:v>ema25_adx25</x:v>
      </x:c>
    </x:row>
    <x:row r="281" ht="23" customHeight="1">
      <x:c r="A281" s="120" t="str">
        <x:v>EMA25 ADX14 &gt;= 25</x:v>
      </x:c>
      <x:c r="B281" s="120" t="str">
        <x:v>多</x:v>
      </x:c>
      <x:c r="C281" s="124" t="n">
        <x:v>45809</x:v>
      </x:c>
      <x:c r="D281" s="124" t="n">
        <x:v>45830</x:v>
      </x:c>
      <x:c r="E281" s="125" t="n">
        <x:v>104591.88</x:v>
      </x:c>
      <x:c r="F281" s="125" t="n">
        <x:v>102120.02</x:v>
      </x:c>
      <x:c r="G281" s="120" t="n">
        <x:v>21</x:v>
      </x:c>
      <x:c r="H281" s="125" t="n">
        <x:v>-256.0975001118634</x:v>
      </x:c>
      <x:c r="I281" s="126" t="n">
        <x:f>H281/'Data &amp; Targets'!$C$34</x:f>
        <x:v>-0.025609750011186337</x:v>
      </x:c>
      <x:c r="J281" s="126" t="n">
        <x:v>0.056775822367854945</x:v>
      </x:c>
      <x:c r="K281" s="120" t="str">
        <x:v>已平仓</x:v>
      </x:c>
      <x:c r="L281" s="120" t="str">
        <x:f>IF(K281="未平仓","浮盈未实现",IF(I281&gt;='Data &amp; Targets'!$C$31,"大收益交易",IF(I281&lt;0,"亏损","普通盈利")))</x:f>
        <x:v>亏损</x:v>
      </x:c>
      <x:c r="M281" s="120" t="str">
        <x:v>EMA52-300 cross</x:v>
      </x:c>
      <x:c r="N281" s="120" t="str">
        <x:v>ema25_adx25</x:v>
      </x:c>
    </x:row>
    <x:row r="282" ht="23" customHeight="1">
      <x:c r="A282" s="120" t="str">
        <x:v>EMA25 ER20 &gt;= 0.2</x:v>
      </x:c>
      <x:c r="B282" s="120" t="str">
        <x:v>多</x:v>
      </x:c>
      <x:c r="C282" s="124" t="n">
        <x:v>45506</x:v>
      </x:c>
      <x:c r="D282" s="124" t="n">
        <x:v>45507</x:v>
      </x:c>
      <x:c r="E282" s="125" t="n">
        <x:v>65354.02</x:v>
      </x:c>
      <x:c r="F282" s="125" t="n">
        <x:v>61498.34</x:v>
      </x:c>
      <x:c r="G282" s="120" t="n">
        <x:v>1</x:v>
      </x:c>
      <x:c r="H282" s="125" t="n">
        <x:v>-609.378330514328</x:v>
      </x:c>
      <x:c r="I282" s="126" t="n">
        <x:f>H282/'Data &amp; Targets'!$C$34</x:f>
        <x:v>-0.0609378330514328</x:v>
      </x:c>
      <x:c r="J282" s="126" t="n">
        <x:v>0.00370474532400622</x:v>
      </x:c>
      <x:c r="K282" s="120" t="str">
        <x:v>已平仓</x:v>
      </x:c>
      <x:c r="L282" s="120" t="str">
        <x:f>IF(K282="未平仓","浮盈未实现",IF(I282&gt;='Data &amp; Targets'!$C$31,"大收益交易",IF(I282&lt;0,"亏损","普通盈利")))</x:f>
        <x:v>亏损</x:v>
      </x:c>
      <x:c r="M282" s="120" t="str">
        <x:v>EMA52-300 cross</x:v>
      </x:c>
      <x:c r="N282" s="120" t="str">
        <x:v>ema25_er0.2</x:v>
      </x:c>
    </x:row>
    <x:row r="283" ht="23" customHeight="1">
      <x:c r="A283" s="120" t="str">
        <x:v>EMA25 ER20 &gt;= 0.3</x:v>
      </x:c>
      <x:c r="B283" s="120" t="str">
        <x:v>多</x:v>
      </x:c>
      <x:c r="C283" s="124" t="n">
        <x:v>45506</x:v>
      </x:c>
      <x:c r="D283" s="124" t="n">
        <x:v>45507</x:v>
      </x:c>
      <x:c r="E283" s="125" t="n">
        <x:v>65354.02</x:v>
      </x:c>
      <x:c r="F283" s="125" t="n">
        <x:v>61498.34</x:v>
      </x:c>
      <x:c r="G283" s="120" t="n">
        <x:v>1</x:v>
      </x:c>
      <x:c r="H283" s="125" t="n">
        <x:v>-609.378330514328</x:v>
      </x:c>
      <x:c r="I283" s="126" t="n">
        <x:f>H283/'Data &amp; Targets'!$C$34</x:f>
        <x:v>-0.0609378330514328</x:v>
      </x:c>
      <x:c r="J283" s="126" t="n">
        <x:v>0.00370474532400622</x:v>
      </x:c>
      <x:c r="K283" s="120" t="str">
        <x:v>已平仓</x:v>
      </x:c>
      <x:c r="L283" s="120" t="str">
        <x:f>IF(K283="未平仓","浮盈未实现",IF(I283&gt;='Data &amp; Targets'!$C$31,"大收益交易",IF(I283&lt;0,"亏损","普通盈利")))</x:f>
        <x:v>亏损</x:v>
      </x:c>
      <x:c r="M283" s="120" t="str">
        <x:v>EMA52-300 cross</x:v>
      </x:c>
      <x:c r="N283" s="120" t="str">
        <x:v>ema25_er0.3</x:v>
      </x:c>
    </x:row>
    <x:row r="284" ht="23" customHeight="1">
      <x:c r="A284" s="120" t="str">
        <x:v>EMA25 EMA52五日升幅/ATR14 &gt;= 0.1</x:v>
      </x:c>
      <x:c r="B284" s="120" t="str">
        <x:v>多</x:v>
      </x:c>
      <x:c r="C284" s="124" t="n">
        <x:v>45372</x:v>
      </x:c>
      <x:c r="D284" s="124" t="n">
        <x:v>45396</x:v>
      </x:c>
      <x:c r="E284" s="125" t="n">
        <x:v>67840.51</x:v>
      </x:c>
      <x:c r="F284" s="125" t="n">
        <x:v>63924.52</x:v>
      </x:c>
      <x:c r="G284" s="120" t="n">
        <x:v>24</x:v>
      </x:c>
      <x:c r="H284" s="125" t="n">
        <x:v>-596.6575177574576</x:v>
      </x:c>
      <x:c r="I284" s="126" t="n">
        <x:f>H284/'Data &amp; Targets'!$C$34</x:f>
        <x:v>-0.05966575177574576</x:v>
      </x:c>
      <x:c r="J284" s="126" t="n">
        <x:v>0.07307551196180584</x:v>
      </x:c>
      <x:c r="K284" s="120" t="str">
        <x:v>已平仓</x:v>
      </x:c>
      <x:c r="L284" s="120" t="str">
        <x:f>IF(K284="未平仓","浮盈未实现",IF(I284&gt;='Data &amp; Targets'!$C$31,"大收益交易",IF(I284&lt;0,"亏损","普通盈利")))</x:f>
        <x:v>亏损</x:v>
      </x:c>
      <x:c r="M284" s="120" t="str">
        <x:v>EMA52-300 cross</x:v>
      </x:c>
      <x:c r="N284" s="120" t="str">
        <x:v>ema25_slope0.1</x:v>
      </x:c>
    </x:row>
    <x:row r="285" ht="23" customHeight="1">
      <x:c r="A285" s="120" t="str">
        <x:v>EMA25 EMA52五日升幅/ATR14 &gt;= 0.1</x:v>
      </x:c>
      <x:c r="B285" s="120" t="str">
        <x:v>多</x:v>
      </x:c>
      <x:c r="C285" s="124" t="n">
        <x:v>45506</x:v>
      </x:c>
      <x:c r="D285" s="124" t="n">
        <x:v>45507</x:v>
      </x:c>
      <x:c r="E285" s="125" t="n">
        <x:v>65354.02</x:v>
      </x:c>
      <x:c r="F285" s="125" t="n">
        <x:v>61498.34</x:v>
      </x:c>
      <x:c r="G285" s="120" t="n">
        <x:v>1</x:v>
      </x:c>
      <x:c r="H285" s="125" t="n">
        <x:v>-609.378330514328</x:v>
      </x:c>
      <x:c r="I285" s="126" t="n">
        <x:f>H285/'Data &amp; Targets'!$C$34</x:f>
        <x:v>-0.0609378330514328</x:v>
      </x:c>
      <x:c r="J285" s="126" t="n">
        <x:v>0.00370474532400622</x:v>
      </x:c>
      <x:c r="K285" s="120" t="str">
        <x:v>已平仓</x:v>
      </x:c>
      <x:c r="L285" s="120" t="str">
        <x:f>IF(K285="未平仓","浮盈未实现",IF(I285&gt;='Data &amp; Targets'!$C$31,"大收益交易",IF(I285&lt;0,"亏损","普通盈利")))</x:f>
        <x:v>亏损</x:v>
      </x:c>
      <x:c r="M285" s="120" t="str">
        <x:v>EMA52-300 cross</x:v>
      </x:c>
      <x:c r="N285" s="120" t="str">
        <x:v>ema25_slope0.1</x:v>
      </x:c>
    </x:row>
    <x:row r="286" ht="23" customHeight="1">
      <x:c r="A286" s="120" t="str">
        <x:v>EMA25 EMA52五日升幅/ATR14 &gt;= 0.1</x:v>
      </x:c>
      <x:c r="B286" s="120" t="str">
        <x:v>多</x:v>
      </x:c>
      <x:c r="C286" s="124" t="n">
        <x:v>45651</x:v>
      </x:c>
      <x:c r="D286" s="124" t="n">
        <x:v>45667</x:v>
      </x:c>
      <x:c r="E286" s="125" t="n">
        <x:v>98663.58</x:v>
      </x:c>
      <x:c r="F286" s="125" t="n">
        <x:v>92552.49</x:v>
      </x:c>
      <x:c r="G286" s="120" t="n">
        <x:v>16</x:v>
      </x:c>
      <x:c r="H286" s="125" t="n">
        <x:v>-638.7672198799189</x:v>
      </x:c>
      <x:c r="I286" s="126" t="n">
        <x:f>H286/'Data &amp; Targets'!$C$34</x:f>
        <x:v>-0.0638767219879919</x:v>
      </x:c>
      <x:c r="J286" s="126" t="n">
        <x:v>0.041158044336116806</x:v>
      </x:c>
      <x:c r="K286" s="120" t="str">
        <x:v>已平仓</x:v>
      </x:c>
      <x:c r="L286" s="120" t="str">
        <x:f>IF(K286="未平仓","浮盈未实现",IF(I286&gt;='Data &amp; Targets'!$C$31,"大收益交易",IF(I286&lt;0,"亏损","普通盈利")))</x:f>
        <x:v>亏损</x:v>
      </x:c>
      <x:c r="M286" s="120" t="str">
        <x:v>EMA52-300 cross</x:v>
      </x:c>
      <x:c r="N286" s="120" t="str">
        <x:v>ema25_slope0.1</x:v>
      </x:c>
    </x:row>
    <x:row r="287" ht="23" customHeight="1">
      <x:c r="A287" s="120" t="str">
        <x:v>EMA25 EMA52五日升幅/ATR14 &gt;= 0.1</x:v>
      </x:c>
      <x:c r="B287" s="120" t="str">
        <x:v>多</x:v>
      </x:c>
      <x:c r="C287" s="124" t="n">
        <x:v>45692</x:v>
      </x:c>
      <x:c r="D287" s="124" t="n">
        <x:v>45693</x:v>
      </x:c>
      <x:c r="E287" s="125" t="n">
        <x:v>101328.51</x:v>
      </x:c>
      <x:c r="F287" s="125" t="n">
        <x:v>97763.14</x:v>
      </x:c>
      <x:c r="G287" s="120" t="n">
        <x:v>1</x:v>
      </x:c>
      <x:c r="H287" s="125" t="n">
        <x:v>-371.5106094030195</x:v>
      </x:c>
      <x:c r="I287" s="126" t="n">
        <x:f>H287/'Data &amp; Targets'!$C$34</x:f>
        <x:v>-0.03715106094030195</x:v>
      </x:c>
      <x:c r="J287" s="126" t="n">
        <x:v>0.0039850581045748346</x:v>
      </x:c>
      <x:c r="K287" s="120" t="str">
        <x:v>已平仓</x:v>
      </x:c>
      <x:c r="L287" s="120" t="str">
        <x:f>IF(K287="未平仓","浮盈未实现",IF(I287&gt;='Data &amp; Targets'!$C$31,"大收益交易",IF(I287&lt;0,"亏损","普通盈利")))</x:f>
        <x:v>亏损</x:v>
      </x:c>
      <x:c r="M287" s="120" t="str">
        <x:v>EMA52-300 cross</x:v>
      </x:c>
      <x:c r="N287" s="120" t="str">
        <x:v>ema25_slope0.1</x:v>
      </x:c>
    </x:row>
    <x:row r="288" ht="23" customHeight="1">
      <x:c r="A288" s="120" t="str">
        <x:v>EMA25 EMA52五日升幅/ATR14 &gt;= 0.1</x:v>
      </x:c>
      <x:c r="B288" s="120" t="str">
        <x:v>多</x:v>
      </x:c>
      <x:c r="C288" s="124" t="n">
        <x:v>45809</x:v>
      </x:c>
      <x:c r="D288" s="124" t="n">
        <x:v>45830</x:v>
      </x:c>
      <x:c r="E288" s="125" t="n">
        <x:v>104591.88</x:v>
      </x:c>
      <x:c r="F288" s="125" t="n">
        <x:v>102120.02</x:v>
      </x:c>
      <x:c r="G288" s="120" t="n">
        <x:v>21</x:v>
      </x:c>
      <x:c r="H288" s="125" t="n">
        <x:v>-256.0975001118634</x:v>
      </x:c>
      <x:c r="I288" s="126" t="n">
        <x:f>H288/'Data &amp; Targets'!$C$34</x:f>
        <x:v>-0.025609750011186337</x:v>
      </x:c>
      <x:c r="J288" s="126" t="n">
        <x:v>0.056775822367854945</x:v>
      </x:c>
      <x:c r="K288" s="120" t="str">
        <x:v>已平仓</x:v>
      </x:c>
      <x:c r="L288" s="120" t="str">
        <x:f>IF(K288="未平仓","浮盈未实现",IF(I288&gt;='Data &amp; Targets'!$C$31,"大收益交易",IF(I288&lt;0,"亏损","普通盈利")))</x:f>
        <x:v>亏损</x:v>
      </x:c>
      <x:c r="M288" s="120" t="str">
        <x:v>EMA52-300 cross</x:v>
      </x:c>
      <x:c r="N288" s="120" t="str">
        <x:v>ema25_slope0.1</x:v>
      </x:c>
    </x:row>
    <x:row r="289" ht="23" customHeight="1">
      <x:c r="A289" s="120" t="str">
        <x:v>EMA25 EMA52五日升幅/ATR14 &gt;= 0.1</x:v>
      </x:c>
      <x:c r="B289" s="120" t="str">
        <x:v>多</x:v>
      </x:c>
      <x:c r="C289" s="124" t="n">
        <x:v>45841</x:v>
      </x:c>
      <x:c r="D289" s="124" t="n">
        <x:v>45889</x:v>
      </x:c>
      <x:c r="E289" s="125" t="n">
        <x:v>108849.59</x:v>
      </x:c>
      <x:c r="F289" s="125" t="n">
        <x:v>112872.95</x:v>
      </x:c>
      <x:c r="G289" s="120" t="n">
        <x:v>48</x:v>
      </x:c>
      <x:c r="H289" s="125" t="n">
        <x:v>349.2560201650737</x:v>
      </x:c>
      <x:c r="I289" s="126" t="n">
        <x:f>H289/'Data &amp; Targets'!$C$34</x:f>
        <x:v>0.03492560201650737</x:v>
      </x:c>
      <x:c r="J289" s="126" t="n">
        <x:v>0.14354128481329154</x:v>
      </x:c>
      <x:c r="K289" s="120" t="str">
        <x:v>已平仓</x:v>
      </x:c>
      <x:c r="L289" s="120" t="str">
        <x:f>IF(K289="未平仓","浮盈未实现",IF(I289&gt;='Data &amp; Targets'!$C$31,"大收益交易",IF(I289&lt;0,"亏损","普通盈利")))</x:f>
        <x:v>普通盈利</x:v>
      </x:c>
      <x:c r="M289" s="120" t="str">
        <x:v>EMA52-300 cross</x:v>
      </x:c>
      <x:c r="N289" s="120" t="str">
        <x:v>ema25_slope0.1</x:v>
      </x:c>
    </x:row>
    <x:row r="290" ht="23" customHeight="1">
      <x:c r="A290" s="120" t="str">
        <x:v>EMA25 EMA52五日升幅/ATR14 &gt;= 0.2</x:v>
      </x:c>
      <x:c r="B290" s="120" t="str">
        <x:v>多</x:v>
      </x:c>
      <x:c r="C290" s="124" t="n">
        <x:v>45372</x:v>
      </x:c>
      <x:c r="D290" s="124" t="n">
        <x:v>45396</x:v>
      </x:c>
      <x:c r="E290" s="125" t="n">
        <x:v>67840.51</x:v>
      </x:c>
      <x:c r="F290" s="125" t="n">
        <x:v>63924.52</x:v>
      </x:c>
      <x:c r="G290" s="120" t="n">
        <x:v>24</x:v>
      </x:c>
      <x:c r="H290" s="125" t="n">
        <x:v>-596.6575177574576</x:v>
      </x:c>
      <x:c r="I290" s="126" t="n">
        <x:f>H290/'Data &amp; Targets'!$C$34</x:f>
        <x:v>-0.05966575177574576</x:v>
      </x:c>
      <x:c r="J290" s="126" t="n">
        <x:v>0.07307551196180584</x:v>
      </x:c>
      <x:c r="K290" s="120" t="str">
        <x:v>已平仓</x:v>
      </x:c>
      <x:c r="L290" s="120" t="str">
        <x:f>IF(K290="未平仓","浮盈未实现",IF(I290&gt;='Data &amp; Targets'!$C$31,"大收益交易",IF(I290&lt;0,"亏损","普通盈利")))</x:f>
        <x:v>亏损</x:v>
      </x:c>
      <x:c r="M290" s="120" t="str">
        <x:v>EMA52-300 cross</x:v>
      </x:c>
      <x:c r="N290" s="120" t="str">
        <x:v>ema25_slope0.2</x:v>
      </x:c>
    </x:row>
    <x:row r="291" ht="23" customHeight="1">
      <x:c r="A291" s="120" t="str">
        <x:v>EMA25 EMA52五日升幅/ATR14 &gt;= 0.2</x:v>
      </x:c>
      <x:c r="B291" s="120" t="str">
        <x:v>多</x:v>
      </x:c>
      <x:c r="C291" s="124" t="n">
        <x:v>45651</x:v>
      </x:c>
      <x:c r="D291" s="124" t="n">
        <x:v>45667</x:v>
      </x:c>
      <x:c r="E291" s="125" t="n">
        <x:v>98663.58</x:v>
      </x:c>
      <x:c r="F291" s="125" t="n">
        <x:v>92552.49</x:v>
      </x:c>
      <x:c r="G291" s="120" t="n">
        <x:v>16</x:v>
      </x:c>
      <x:c r="H291" s="125" t="n">
        <x:v>-638.7672198799189</x:v>
      </x:c>
      <x:c r="I291" s="126" t="n">
        <x:f>H291/'Data &amp; Targets'!$C$34</x:f>
        <x:v>-0.0638767219879919</x:v>
      </x:c>
      <x:c r="J291" s="126" t="n">
        <x:v>0.041158044336116806</x:v>
      </x:c>
      <x:c r="K291" s="120" t="str">
        <x:v>已平仓</x:v>
      </x:c>
      <x:c r="L291" s="120" t="str">
        <x:f>IF(K291="未平仓","浮盈未实现",IF(I291&gt;='Data &amp; Targets'!$C$31,"大收益交易",IF(I291&lt;0,"亏损","普通盈利")))</x:f>
        <x:v>亏损</x:v>
      </x:c>
      <x:c r="M291" s="120" t="str">
        <x:v>EMA52-300 cross</x:v>
      </x:c>
      <x:c r="N291" s="120" t="str">
        <x:v>ema25_slope0.2</x:v>
      </x:c>
    </x:row>
    <x:row r="292" ht="23" customHeight="1">
      <x:c r="A292" s="120" t="str">
        <x:v>EMA25 EMA52五日升幅/ATR14 &gt;= 0.2</x:v>
      </x:c>
      <x:c r="B292" s="120" t="str">
        <x:v>多</x:v>
      </x:c>
      <x:c r="C292" s="124" t="n">
        <x:v>45809</x:v>
      </x:c>
      <x:c r="D292" s="124" t="n">
        <x:v>45830</x:v>
      </x:c>
      <x:c r="E292" s="125" t="n">
        <x:v>104591.88</x:v>
      </x:c>
      <x:c r="F292" s="125" t="n">
        <x:v>102120.02</x:v>
      </x:c>
      <x:c r="G292" s="120" t="n">
        <x:v>21</x:v>
      </x:c>
      <x:c r="H292" s="125" t="n">
        <x:v>-256.0975001118634</x:v>
      </x:c>
      <x:c r="I292" s="126" t="n">
        <x:f>H292/'Data &amp; Targets'!$C$34</x:f>
        <x:v>-0.025609750011186337</x:v>
      </x:c>
      <x:c r="J292" s="126" t="n">
        <x:v>0.056775822367854945</x:v>
      </x:c>
      <x:c r="K292" s="120" t="str">
        <x:v>已平仓</x:v>
      </x:c>
      <x:c r="L292" s="120" t="str">
        <x:f>IF(K292="未平仓","浮盈未实现",IF(I292&gt;='Data &amp; Targets'!$C$31,"大收益交易",IF(I292&lt;0,"亏损","普通盈利")))</x:f>
        <x:v>亏损</x:v>
      </x:c>
      <x:c r="M292" s="120" t="str">
        <x:v>EMA52-300 cross</x:v>
      </x:c>
      <x:c r="N292" s="120" t="str">
        <x:v>ema25_slope0.2</x:v>
      </x:c>
    </x:row>
    <x:row r="293" ht="23" customHeight="1">
      <x:c r="A293" s="120" t="str">
        <x:v>EMA25 EMA52五日升幅/ATR14 &gt;= 0.2</x:v>
      </x:c>
      <x:c r="B293" s="120" t="str">
        <x:v>多</x:v>
      </x:c>
      <x:c r="C293" s="124" t="n">
        <x:v>45841</x:v>
      </x:c>
      <x:c r="D293" s="124" t="n">
        <x:v>45889</x:v>
      </x:c>
      <x:c r="E293" s="125" t="n">
        <x:v>108849.59</x:v>
      </x:c>
      <x:c r="F293" s="125" t="n">
        <x:v>112872.95</x:v>
      </x:c>
      <x:c r="G293" s="120" t="n">
        <x:v>48</x:v>
      </x:c>
      <x:c r="H293" s="125" t="n">
        <x:v>349.2560201650737</x:v>
      </x:c>
      <x:c r="I293" s="126" t="n">
        <x:f>H293/'Data &amp; Targets'!$C$34</x:f>
        <x:v>0.03492560201650737</x:v>
      </x:c>
      <x:c r="J293" s="126" t="n">
        <x:v>0.14354128481329154</x:v>
      </x:c>
      <x:c r="K293" s="120" t="str">
        <x:v>已平仓</x:v>
      </x:c>
      <x:c r="L293" s="120" t="str">
        <x:f>IF(K293="未平仓","浮盈未实现",IF(I293&gt;='Data &amp; Targets'!$C$31,"大收益交易",IF(I293&lt;0,"亏损","普通盈利")))</x:f>
        <x:v>普通盈利</x:v>
      </x:c>
      <x:c r="M293" s="120" t="str">
        <x:v>EMA52-300 cross</x:v>
      </x:c>
      <x:c r="N293" s="120" t="str">
        <x:v>ema25_slope0.2</x:v>
      </x:c>
    </x:row>
    <x:row r="294" ht="23" customHeight="1">
      <x:c r="A294" s="120" t="str">
        <x:v>EMA25 (EMA25-EMA52)/ATR14 &gt;= 0.25</x:v>
      </x:c>
      <x:c r="B294" s="120" t="str">
        <x:v>多</x:v>
      </x:c>
      <x:c r="C294" s="124" t="n">
        <x:v>45372</x:v>
      </x:c>
      <x:c r="D294" s="124" t="n">
        <x:v>45396</x:v>
      </x:c>
      <x:c r="E294" s="125" t="n">
        <x:v>67840.51</x:v>
      </x:c>
      <x:c r="F294" s="125" t="n">
        <x:v>63924.52</x:v>
      </x:c>
      <x:c r="G294" s="120" t="n">
        <x:v>24</x:v>
      </x:c>
      <x:c r="H294" s="125" t="n">
        <x:v>-596.6575177574576</x:v>
      </x:c>
      <x:c r="I294" s="126" t="n">
        <x:f>H294/'Data &amp; Targets'!$C$34</x:f>
        <x:v>-0.05966575177574576</x:v>
      </x:c>
      <x:c r="J294" s="126" t="n">
        <x:v>0.07307551196180584</x:v>
      </x:c>
      <x:c r="K294" s="120" t="str">
        <x:v>已平仓</x:v>
      </x:c>
      <x:c r="L294" s="120" t="str">
        <x:f>IF(K294="未平仓","浮盈未实现",IF(I294&gt;='Data &amp; Targets'!$C$31,"大收益交易",IF(I294&lt;0,"亏损","普通盈利")))</x:f>
        <x:v>亏损</x:v>
      </x:c>
      <x:c r="M294" s="120" t="str">
        <x:v>EMA52-300 cross</x:v>
      </x:c>
      <x:c r="N294" s="120" t="str">
        <x:v>ema25_gap0.25</x:v>
      </x:c>
    </x:row>
    <x:row r="295" ht="23" customHeight="1">
      <x:c r="A295" s="120" t="str">
        <x:v>EMA25 (EMA25-EMA52)/ATR14 &gt;= 0.25</x:v>
      </x:c>
      <x:c r="B295" s="120" t="str">
        <x:v>多</x:v>
      </x:c>
      <x:c r="C295" s="124" t="n">
        <x:v>45405</x:v>
      </x:c>
      <x:c r="D295" s="124" t="n">
        <x:v>45409</x:v>
      </x:c>
      <x:c r="E295" s="125" t="n">
        <x:v>66819.32</x:v>
      </x:c>
      <x:c r="F295" s="125" t="n">
        <x:v>63770</x:v>
      </x:c>
      <x:c r="G295" s="120" t="n">
        <x:v>4</x:v>
      </x:c>
      <x:c r="H295" s="125" t="n">
        <x:v>-475.896689759789</x:v>
      </x:c>
      <x:c r="I295" s="126" t="n">
        <x:f>H295/'Data &amp; Targets'!$C$34</x:f>
        <x:v>-0.047589668975978903</x:v>
      </x:c>
      <x:c r="J295" s="126" t="n">
        <x:v>0.005442886877627506</x:v>
      </x:c>
      <x:c r="K295" s="120" t="str">
        <x:v>已平仓</x:v>
      </x:c>
      <x:c r="L295" s="120" t="str">
        <x:f>IF(K295="未平仓","浮盈未实现",IF(I295&gt;='Data &amp; Targets'!$C$31,"大收益交易",IF(I295&lt;0,"亏损","普通盈利")))</x:f>
        <x:v>亏损</x:v>
      </x:c>
      <x:c r="M295" s="120" t="str">
        <x:v>EMA52-300 cross</x:v>
      </x:c>
      <x:c r="N295" s="120" t="str">
        <x:v>ema25_gap0.25</x:v>
      </x:c>
    </x:row>
    <x:row r="296" ht="23" customHeight="1">
      <x:c r="A296" s="120" t="str">
        <x:v>EMA25 (EMA25-EMA52)/ATR14 &gt;= 0.25</x:v>
      </x:c>
      <x:c r="B296" s="120" t="str">
        <x:v>多</x:v>
      </x:c>
      <x:c r="C296" s="124" t="n">
        <x:v>45570</x:v>
      </x:c>
      <x:c r="D296" s="124" t="n">
        <x:v>45575</x:v>
      </x:c>
      <x:c r="E296" s="125" t="n">
        <x:v>62086</x:v>
      </x:c>
      <x:c r="F296" s="125" t="n">
        <x:v>60636.01</x:v>
      </x:c>
      <x:c r="G296" s="120" t="n">
        <x:v>5</x:v>
      </x:c>
      <x:c r="H296" s="125" t="n">
        <x:v>-253.3118593563763</x:v>
      </x:c>
      <x:c r="I296" s="126" t="n">
        <x:f>H296/'Data &amp; Targets'!$C$34</x:f>
        <x:v>-0.02533118593563763</x:v>
      </x:c>
      <x:c r="J296" s="126" t="n">
        <x:v>0.0385302644718617</x:v>
      </x:c>
      <x:c r="K296" s="120" t="str">
        <x:v>已平仓</x:v>
      </x:c>
      <x:c r="L296" s="120" t="str">
        <x:f>IF(K296="未平仓","浮盈未实现",IF(I296&gt;='Data &amp; Targets'!$C$31,"大收益交易",IF(I296&lt;0,"亏损","普通盈利")))</x:f>
        <x:v>亏损</x:v>
      </x:c>
      <x:c r="M296" s="120" t="str">
        <x:v>EMA52-300 cross</x:v>
      </x:c>
      <x:c r="N296" s="120" t="str">
        <x:v>ema25_gap0.25</x:v>
      </x:c>
    </x:row>
    <x:row r="297" ht="23" customHeight="1">
      <x:c r="A297" s="120" t="str">
        <x:v>EMA25 (EMA25-EMA52)/ATR14 &gt;= 0.25</x:v>
      </x:c>
      <x:c r="B297" s="120" t="str">
        <x:v>多</x:v>
      </x:c>
      <x:c r="C297" s="124" t="n">
        <x:v>45651</x:v>
      </x:c>
      <x:c r="D297" s="124" t="n">
        <x:v>45667</x:v>
      </x:c>
      <x:c r="E297" s="125" t="n">
        <x:v>98663.58</x:v>
      </x:c>
      <x:c r="F297" s="125" t="n">
        <x:v>92552.49</x:v>
      </x:c>
      <x:c r="G297" s="120" t="n">
        <x:v>16</x:v>
      </x:c>
      <x:c r="H297" s="125" t="n">
        <x:v>-638.7672198799189</x:v>
      </x:c>
      <x:c r="I297" s="126" t="n">
        <x:f>H297/'Data &amp; Targets'!$C$34</x:f>
        <x:v>-0.0638767219879919</x:v>
      </x:c>
      <x:c r="J297" s="126" t="n">
        <x:v>0.041158044336116806</x:v>
      </x:c>
      <x:c r="K297" s="120" t="str">
        <x:v>已平仓</x:v>
      </x:c>
      <x:c r="L297" s="120" t="str">
        <x:f>IF(K297="未平仓","浮盈未实现",IF(I297&gt;='Data &amp; Targets'!$C$31,"大收益交易",IF(I297&lt;0,"亏损","普通盈利")))</x:f>
        <x:v>亏损</x:v>
      </x:c>
      <x:c r="M297" s="120" t="str">
        <x:v>EMA52-300 cross</x:v>
      </x:c>
      <x:c r="N297" s="120" t="str">
        <x:v>ema25_gap0.25</x:v>
      </x:c>
    </x:row>
    <x:row r="298" ht="23" customHeight="1">
      <x:c r="A298" s="120" t="str">
        <x:v>EMA25 (EMA25-EMA52)/ATR14 &gt;= 0.25</x:v>
      </x:c>
      <x:c r="B298" s="120" t="str">
        <x:v>多</x:v>
      </x:c>
      <x:c r="C298" s="124" t="n">
        <x:v>45672</x:v>
      </x:c>
      <x:c r="D298" s="124" t="n">
        <x:v>45691</x:v>
      </x:c>
      <x:c r="E298" s="125" t="n">
        <x:v>96560.85</x:v>
      </x:c>
      <x:c r="F298" s="125" t="n">
        <x:v>97700.59</x:v>
      </x:c>
      <x:c r="G298" s="120" t="n">
        <x:v>19</x:v>
      </x:c>
      <x:c r="H298" s="125" t="n">
        <x:v>97.91531039753592</x:v>
      </x:c>
      <x:c r="I298" s="126" t="n">
        <x:f>H298/'Data &amp; Targets'!$C$34</x:f>
        <x:v>0.009791531039753592</x:v>
      </x:c>
      <x:c r="J298" s="126" t="n">
        <x:v>0.13491130204425494</x:v>
      </x:c>
      <x:c r="K298" s="120" t="str">
        <x:v>已平仓</x:v>
      </x:c>
      <x:c r="L298" s="120" t="str">
        <x:f>IF(K298="未平仓","浮盈未实现",IF(I298&gt;='Data &amp; Targets'!$C$31,"大收益交易",IF(I298&lt;0,"亏损","普通盈利")))</x:f>
        <x:v>普通盈利</x:v>
      </x:c>
      <x:c r="M298" s="120" t="str">
        <x:v>EMA52-300 cross</x:v>
      </x:c>
      <x:c r="N298" s="120" t="str">
        <x:v>ema25_gap0.25</x:v>
      </x:c>
    </x:row>
    <x:row r="299" ht="23" customHeight="1">
      <x:c r="A299" s="120" t="str">
        <x:v>EMA25 (EMA25-EMA52)/ATR14 &gt;= 0.25</x:v>
      </x:c>
      <x:c r="B299" s="120" t="str">
        <x:v>多</x:v>
      </x:c>
      <x:c r="C299" s="124" t="n">
        <x:v>45692</x:v>
      </x:c>
      <x:c r="D299" s="124" t="n">
        <x:v>45693</x:v>
      </x:c>
      <x:c r="E299" s="125" t="n">
        <x:v>101328.51</x:v>
      </x:c>
      <x:c r="F299" s="125" t="n">
        <x:v>97763.14</x:v>
      </x:c>
      <x:c r="G299" s="120" t="n">
        <x:v>1</x:v>
      </x:c>
      <x:c r="H299" s="125" t="n">
        <x:v>-371.5106094030195</x:v>
      </x:c>
      <x:c r="I299" s="126" t="n">
        <x:f>H299/'Data &amp; Targets'!$C$34</x:f>
        <x:v>-0.03715106094030195</x:v>
      </x:c>
      <x:c r="J299" s="126" t="n">
        <x:v>0.0039850581045748346</x:v>
      </x:c>
      <x:c r="K299" s="120" t="str">
        <x:v>已平仓</x:v>
      </x:c>
      <x:c r="L299" s="120" t="str">
        <x:f>IF(K299="未平仓","浮盈未实现",IF(I299&gt;='Data &amp; Targets'!$C$31,"大收益交易",IF(I299&lt;0,"亏损","普通盈利")))</x:f>
        <x:v>亏损</x:v>
      </x:c>
      <x:c r="M299" s="120" t="str">
        <x:v>EMA52-300 cross</x:v>
      </x:c>
      <x:c r="N299" s="120" t="str">
        <x:v>ema25_gap0.25</x:v>
      </x:c>
    </x:row>
    <x:row r="300" ht="23" customHeight="1">
      <x:c r="A300" s="120" t="str">
        <x:v>EMA25 (EMA25-EMA52)/ATR14 &gt;= 0.25</x:v>
      </x:c>
      <x:c r="B300" s="120" t="str">
        <x:v>多</x:v>
      </x:c>
      <x:c r="C300" s="124" t="n">
        <x:v>45809</x:v>
      </x:c>
      <x:c r="D300" s="124" t="n">
        <x:v>45830</x:v>
      </x:c>
      <x:c r="E300" s="125" t="n">
        <x:v>104591.88</x:v>
      </x:c>
      <x:c r="F300" s="125" t="n">
        <x:v>102120.02</x:v>
      </x:c>
      <x:c r="G300" s="120" t="n">
        <x:v>21</x:v>
      </x:c>
      <x:c r="H300" s="125" t="n">
        <x:v>-256.0975001118634</x:v>
      </x:c>
      <x:c r="I300" s="126" t="n">
        <x:f>H300/'Data &amp; Targets'!$C$34</x:f>
        <x:v>-0.025609750011186337</x:v>
      </x:c>
      <x:c r="J300" s="126" t="n">
        <x:v>0.056775822367854945</x:v>
      </x:c>
      <x:c r="K300" s="120" t="str">
        <x:v>已平仓</x:v>
      </x:c>
      <x:c r="L300" s="120" t="str">
        <x:f>IF(K300="未平仓","浮盈未实现",IF(I300&gt;='Data &amp; Targets'!$C$31,"大收益交易",IF(I300&lt;0,"亏损","普通盈利")))</x:f>
        <x:v>亏损</x:v>
      </x:c>
      <x:c r="M300" s="120" t="str">
        <x:v>EMA52-300 cross</x:v>
      </x:c>
      <x:c r="N300" s="120" t="str">
        <x:v>ema25_gap0.25</x:v>
      </x:c>
    </x:row>
    <x:row r="301" ht="23" customHeight="1">
      <x:c r="A301" s="120" t="str">
        <x:v>EMA25 (EMA25-EMA52)/ATR14 &gt;= 0.25</x:v>
      </x:c>
      <x:c r="B301" s="120" t="str">
        <x:v>多</x:v>
      </x:c>
      <x:c r="C301" s="124" t="n">
        <x:v>45832</x:v>
      </x:c>
      <x:c r="D301" s="124" t="n">
        <x:v>45889</x:v>
      </x:c>
      <x:c r="E301" s="125" t="n">
        <x:v>105333.94</x:v>
      </x:c>
      <x:c r="F301" s="125" t="n">
        <x:v>112872.95</x:v>
      </x:c>
      <x:c r="G301" s="120" t="n">
        <x:v>57</x:v>
      </x:c>
      <x:c r="H301" s="125" t="n">
        <x:v>695.0089505813601</x:v>
      </x:c>
      <x:c r="I301" s="126" t="n">
        <x:f>H301/'Data &amp; Targets'!$C$34</x:f>
        <x:v>0.069500895058136</x:v>
      </x:c>
      <x:c r="J301" s="126" t="n">
        <x:v>0.18170838383146015</x:v>
      </x:c>
      <x:c r="K301" s="120" t="str">
        <x:v>已平仓</x:v>
      </x:c>
      <x:c r="L301" s="120" t="str">
        <x:f>IF(K301="未平仓","浮盈未实现",IF(I301&gt;='Data &amp; Targets'!$C$31,"大收益交易",IF(I301&lt;0,"亏损","普通盈利")))</x:f>
        <x:v>普通盈利</x:v>
      </x:c>
      <x:c r="M301" s="120" t="str">
        <x:v>EMA52-300 cross</x:v>
      </x:c>
      <x:c r="N301" s="120" t="str">
        <x:v>ema25_gap0.25</x:v>
      </x:c>
    </x:row>
    <x:row r="302" ht="23" customHeight="1">
      <x:c r="A302" s="120" t="str">
        <x:v>EMA25 (EMA25-EMA52)/ATR14 &gt;= 0.25</x:v>
      </x:c>
      <x:c r="B302" s="120" t="str">
        <x:v>多</x:v>
      </x:c>
      <x:c r="C302" s="124" t="n">
        <x:v>45892</x:v>
      </x:c>
      <x:c r="D302" s="124" t="n">
        <x:v>45894</x:v>
      </x:c>
      <x:c r="E302" s="125" t="n">
        <x:v>116936</x:v>
      </x:c>
      <x:c r="F302" s="125" t="n">
        <x:v>113493.59</x:v>
      </x:c>
      <x:c r="G302" s="120" t="n">
        <x:v>2</x:v>
      </x:c>
      <x:c r="H302" s="125" t="n">
        <x:v>-314.08972343846233</x:v>
      </x:c>
      <x:c r="I302" s="126" t="n">
        <x:f>H302/'Data &amp; Targets'!$C$34</x:f>
        <x:v>-0.03140897234384623</x:v>
      </x:c>
      <x:c r="J302" s="126" t="n">
        <x:v>0.000803858520900258</x:v>
      </x:c>
      <x:c r="K302" s="120" t="str">
        <x:v>已平仓</x:v>
      </x:c>
      <x:c r="L302" s="120" t="str">
        <x:f>IF(K302="未平仓","浮盈未实现",IF(I302&gt;='Data &amp; Targets'!$C$31,"大收益交易",IF(I302&lt;0,"亏损","普通盈利")))</x:f>
        <x:v>亏损</x:v>
      </x:c>
      <x:c r="M302" s="120" t="str">
        <x:v>EMA52-300 cross</x:v>
      </x:c>
      <x:c r="N302" s="120" t="str">
        <x:v>ema25_gap0.25</x:v>
      </x:c>
    </x:row>
    <x:row r="303" ht="23" customHeight="1">
      <x:c r="A303" s="120" t="str">
        <x:v>EMA25 (EMA25-EMA52)/ATR14 &gt;= 0.5</x:v>
      </x:c>
      <x:c r="B303" s="120" t="str">
        <x:v>多</x:v>
      </x:c>
      <x:c r="C303" s="124" t="n">
        <x:v>45372</x:v>
      </x:c>
      <x:c r="D303" s="124" t="n">
        <x:v>45396</x:v>
      </x:c>
      <x:c r="E303" s="125" t="n">
        <x:v>67840.51</x:v>
      </x:c>
      <x:c r="F303" s="125" t="n">
        <x:v>63924.52</x:v>
      </x:c>
      <x:c r="G303" s="120" t="n">
        <x:v>24</x:v>
      </x:c>
      <x:c r="H303" s="125" t="n">
        <x:v>-596.6575177574576</x:v>
      </x:c>
      <x:c r="I303" s="126" t="n">
        <x:f>H303/'Data &amp; Targets'!$C$34</x:f>
        <x:v>-0.05966575177574576</x:v>
      </x:c>
      <x:c r="J303" s="126" t="n">
        <x:v>0.07307551196180584</x:v>
      </x:c>
      <x:c r="K303" s="120" t="str">
        <x:v>已平仓</x:v>
      </x:c>
      <x:c r="L303" s="120" t="str">
        <x:f>IF(K303="未平仓","浮盈未实现",IF(I303&gt;='Data &amp; Targets'!$C$31,"大收益交易",IF(I303&lt;0,"亏损","普通盈利")))</x:f>
        <x:v>亏损</x:v>
      </x:c>
      <x:c r="M303" s="120" t="str">
        <x:v>EMA52-300 cross</x:v>
      </x:c>
      <x:c r="N303" s="120" t="str">
        <x:v>ema25_gap0.5</x:v>
      </x:c>
    </x:row>
    <x:row r="304" ht="23" customHeight="1">
      <x:c r="A304" s="120" t="str">
        <x:v>EMA25 (EMA25-EMA52)/ATR14 &gt;= 0.5</x:v>
      </x:c>
      <x:c r="B304" s="120" t="str">
        <x:v>多</x:v>
      </x:c>
      <x:c r="C304" s="124" t="n">
        <x:v>45651</x:v>
      </x:c>
      <x:c r="D304" s="124" t="n">
        <x:v>45667</x:v>
      </x:c>
      <x:c r="E304" s="125" t="n">
        <x:v>98663.58</x:v>
      </x:c>
      <x:c r="F304" s="125" t="n">
        <x:v>92552.49</x:v>
      </x:c>
      <x:c r="G304" s="120" t="n">
        <x:v>16</x:v>
      </x:c>
      <x:c r="H304" s="125" t="n">
        <x:v>-638.7672198799189</x:v>
      </x:c>
      <x:c r="I304" s="126" t="n">
        <x:f>H304/'Data &amp; Targets'!$C$34</x:f>
        <x:v>-0.0638767219879919</x:v>
      </x:c>
      <x:c r="J304" s="126" t="n">
        <x:v>0.041158044336116806</x:v>
      </x:c>
      <x:c r="K304" s="120" t="str">
        <x:v>已平仓</x:v>
      </x:c>
      <x:c r="L304" s="120" t="str">
        <x:f>IF(K304="未平仓","浮盈未实现",IF(I304&gt;='Data &amp; Targets'!$C$31,"大收益交易",IF(I304&lt;0,"亏损","普通盈利")))</x:f>
        <x:v>亏损</x:v>
      </x:c>
      <x:c r="M304" s="120" t="str">
        <x:v>EMA52-300 cross</x:v>
      </x:c>
      <x:c r="N304" s="120" t="str">
        <x:v>ema25_gap0.5</x:v>
      </x:c>
    </x:row>
    <x:row r="305" ht="23" customHeight="1">
      <x:c r="A305" s="120" t="str">
        <x:v>EMA25 (EMA25-EMA52)/ATR14 &gt;= 0.5</x:v>
      </x:c>
      <x:c r="B305" s="120" t="str">
        <x:v>多</x:v>
      </x:c>
      <x:c r="C305" s="124" t="n">
        <x:v>45672</x:v>
      </x:c>
      <x:c r="D305" s="124" t="n">
        <x:v>45691</x:v>
      </x:c>
      <x:c r="E305" s="125" t="n">
        <x:v>96560.85</x:v>
      </x:c>
      <x:c r="F305" s="125" t="n">
        <x:v>97700.59</x:v>
      </x:c>
      <x:c r="G305" s="120" t="n">
        <x:v>19</x:v>
      </x:c>
      <x:c r="H305" s="125" t="n">
        <x:v>97.91531039753592</x:v>
      </x:c>
      <x:c r="I305" s="126" t="n">
        <x:f>H305/'Data &amp; Targets'!$C$34</x:f>
        <x:v>0.009791531039753592</x:v>
      </x:c>
      <x:c r="J305" s="126" t="n">
        <x:v>0.13491130204425494</x:v>
      </x:c>
      <x:c r="K305" s="120" t="str">
        <x:v>已平仓</x:v>
      </x:c>
      <x:c r="L305" s="120" t="str">
        <x:f>IF(K305="未平仓","浮盈未实现",IF(I305&gt;='Data &amp; Targets'!$C$31,"大收益交易",IF(I305&lt;0,"亏损","普通盈利")))</x:f>
        <x:v>普通盈利</x:v>
      </x:c>
      <x:c r="M305" s="120" t="str">
        <x:v>EMA52-300 cross</x:v>
      </x:c>
      <x:c r="N305" s="120" t="str">
        <x:v>ema25_gap0.5</x:v>
      </x:c>
    </x:row>
    <x:row r="306" ht="23" customHeight="1">
      <x:c r="A306" s="120" t="str">
        <x:v>EMA25 (EMA25-EMA52)/ATR14 &gt;= 0.5</x:v>
      </x:c>
      <x:c r="B306" s="120" t="str">
        <x:v>多</x:v>
      </x:c>
      <x:c r="C306" s="124" t="n">
        <x:v>45692</x:v>
      </x:c>
      <x:c r="D306" s="124" t="n">
        <x:v>45693</x:v>
      </x:c>
      <x:c r="E306" s="125" t="n">
        <x:v>101328.51</x:v>
      </x:c>
      <x:c r="F306" s="125" t="n">
        <x:v>97763.14</x:v>
      </x:c>
      <x:c r="G306" s="120" t="n">
        <x:v>1</x:v>
      </x:c>
      <x:c r="H306" s="125" t="n">
        <x:v>-371.5106094030195</x:v>
      </x:c>
      <x:c r="I306" s="126" t="n">
        <x:f>H306/'Data &amp; Targets'!$C$34</x:f>
        <x:v>-0.03715106094030195</x:v>
      </x:c>
      <x:c r="J306" s="126" t="n">
        <x:v>0.0039850581045748346</x:v>
      </x:c>
      <x:c r="K306" s="120" t="str">
        <x:v>已平仓</x:v>
      </x:c>
      <x:c r="L306" s="120" t="str">
        <x:f>IF(K306="未平仓","浮盈未实现",IF(I306&gt;='Data &amp; Targets'!$C$31,"大收益交易",IF(I306&lt;0,"亏损","普通盈利")))</x:f>
        <x:v>亏损</x:v>
      </x:c>
      <x:c r="M306" s="120" t="str">
        <x:v>EMA52-300 cross</x:v>
      </x:c>
      <x:c r="N306" s="120" t="str">
        <x:v>ema25_gap0.5</x:v>
      </x:c>
    </x:row>
    <x:row r="307" ht="23" customHeight="1">
      <x:c r="A307" s="120" t="str">
        <x:v>EMA25 (EMA25-EMA52)/ATR14 &gt;= 0.5</x:v>
      </x:c>
      <x:c r="B307" s="120" t="str">
        <x:v>多</x:v>
      </x:c>
      <x:c r="C307" s="124" t="n">
        <x:v>45809</x:v>
      </x:c>
      <x:c r="D307" s="124" t="n">
        <x:v>45830</x:v>
      </x:c>
      <x:c r="E307" s="125" t="n">
        <x:v>104591.88</x:v>
      </x:c>
      <x:c r="F307" s="125" t="n">
        <x:v>102120.02</x:v>
      </x:c>
      <x:c r="G307" s="120" t="n">
        <x:v>21</x:v>
      </x:c>
      <x:c r="H307" s="125" t="n">
        <x:v>-256.0975001118634</x:v>
      </x:c>
      <x:c r="I307" s="126" t="n">
        <x:f>H307/'Data &amp; Targets'!$C$34</x:f>
        <x:v>-0.025609750011186337</x:v>
      </x:c>
      <x:c r="J307" s="126" t="n">
        <x:v>0.056775822367854945</x:v>
      </x:c>
      <x:c r="K307" s="120" t="str">
        <x:v>已平仓</x:v>
      </x:c>
      <x:c r="L307" s="120" t="str">
        <x:f>IF(K307="未平仓","浮盈未实现",IF(I307&gt;='Data &amp; Targets'!$C$31,"大收益交易",IF(I307&lt;0,"亏损","普通盈利")))</x:f>
        <x:v>亏损</x:v>
      </x:c>
      <x:c r="M307" s="120" t="str">
        <x:v>EMA52-300 cross</x:v>
      </x:c>
      <x:c r="N307" s="120" t="str">
        <x:v>ema25_gap0.5</x:v>
      </x:c>
    </x:row>
    <x:row r="308" ht="23" customHeight="1">
      <x:c r="A308" s="120" t="str">
        <x:v>EMA25 (EMA25-EMA52)/ATR14 &gt;= 0.5</x:v>
      </x:c>
      <x:c r="B308" s="120" t="str">
        <x:v>多</x:v>
      </x:c>
      <x:c r="C308" s="124" t="n">
        <x:v>45832</x:v>
      </x:c>
      <x:c r="D308" s="124" t="n">
        <x:v>45889</x:v>
      </x:c>
      <x:c r="E308" s="125" t="n">
        <x:v>105333.94</x:v>
      </x:c>
      <x:c r="F308" s="125" t="n">
        <x:v>112872.95</x:v>
      </x:c>
      <x:c r="G308" s="120" t="n">
        <x:v>57</x:v>
      </x:c>
      <x:c r="H308" s="125" t="n">
        <x:v>695.0089505813601</x:v>
      </x:c>
      <x:c r="I308" s="126" t="n">
        <x:f>H308/'Data &amp; Targets'!$C$34</x:f>
        <x:v>0.069500895058136</x:v>
      </x:c>
      <x:c r="J308" s="126" t="n">
        <x:v>0.18170838383146015</x:v>
      </x:c>
      <x:c r="K308" s="120" t="str">
        <x:v>已平仓</x:v>
      </x:c>
      <x:c r="L308" s="120" t="str">
        <x:f>IF(K308="未平仓","浮盈未实现",IF(I308&gt;='Data &amp; Targets'!$C$31,"大收益交易",IF(I308&lt;0,"亏损","普通盈利")))</x:f>
        <x:v>普通盈利</x:v>
      </x:c>
      <x:c r="M308" s="120" t="str">
        <x:v>EMA52-300 cross</x:v>
      </x:c>
      <x:c r="N308" s="120" t="str">
        <x:v>ema25_gap0.5</x:v>
      </x:c>
    </x:row>
    <x:row r="309" ht="23" customHeight="1">
      <x:c r="A309" s="120" t="str">
        <x:v>EMA25 (EMA25-EMA52)/ATR14 &gt;= 0.5</x:v>
      </x:c>
      <x:c r="B309" s="120" t="str">
        <x:v>多</x:v>
      </x:c>
      <x:c r="C309" s="124" t="n">
        <x:v>45892</x:v>
      </x:c>
      <x:c r="D309" s="124" t="n">
        <x:v>45894</x:v>
      </x:c>
      <x:c r="E309" s="125" t="n">
        <x:v>116936</x:v>
      </x:c>
      <x:c r="F309" s="125" t="n">
        <x:v>113493.59</x:v>
      </x:c>
      <x:c r="G309" s="120" t="n">
        <x:v>2</x:v>
      </x:c>
      <x:c r="H309" s="125" t="n">
        <x:v>-314.08972343846233</x:v>
      </x:c>
      <x:c r="I309" s="126" t="n">
        <x:f>H309/'Data &amp; Targets'!$C$34</x:f>
        <x:v>-0.03140897234384623</x:v>
      </x:c>
      <x:c r="J309" s="126" t="n">
        <x:v>0.000803858520900258</x:v>
      </x:c>
      <x:c r="K309" s="120" t="str">
        <x:v>已平仓</x:v>
      </x:c>
      <x:c r="L309" s="120" t="str">
        <x:f>IF(K309="未平仓","浮盈未实现",IF(I309&gt;='Data &amp; Targets'!$C$31,"大收益交易",IF(I309&lt;0,"亏损","普通盈利")))</x:f>
        <x:v>亏损</x:v>
      </x:c>
      <x:c r="M309" s="120" t="str">
        <x:v>EMA52-300 cross</x:v>
      </x:c>
      <x:c r="N309" s="120" t="str">
        <x:v>ema25_gap0.5</x:v>
      </x:c>
    </x:row>
    <x:row r="310" ht="23" customHeight="1">
      <x:c r="A310" s="120" t="str">
        <x:v>EMA25 ADX &gt;= 20 且斜率 &gt;= 0.1</x:v>
      </x:c>
      <x:c r="B310" s="120" t="str">
        <x:v>多</x:v>
      </x:c>
      <x:c r="C310" s="124" t="n">
        <x:v>45372</x:v>
      </x:c>
      <x:c r="D310" s="124" t="n">
        <x:v>45396</x:v>
      </x:c>
      <x:c r="E310" s="125" t="n">
        <x:v>67840.51</x:v>
      </x:c>
      <x:c r="F310" s="125" t="n">
        <x:v>63924.52</x:v>
      </x:c>
      <x:c r="G310" s="120" t="n">
        <x:v>24</x:v>
      </x:c>
      <x:c r="H310" s="125" t="n">
        <x:v>-596.6575177574576</x:v>
      </x:c>
      <x:c r="I310" s="126" t="n">
        <x:f>H310/'Data &amp; Targets'!$C$34</x:f>
        <x:v>-0.05966575177574576</x:v>
      </x:c>
      <x:c r="J310" s="126" t="n">
        <x:v>0.07307551196180584</x:v>
      </x:c>
      <x:c r="K310" s="120" t="str">
        <x:v>已平仓</x:v>
      </x:c>
      <x:c r="L310" s="120" t="str">
        <x:f>IF(K310="未平仓","浮盈未实现",IF(I310&gt;='Data &amp; Targets'!$C$31,"大收益交易",IF(I310&lt;0,"亏损","普通盈利")))</x:f>
        <x:v>亏损</x:v>
      </x:c>
      <x:c r="M310" s="120" t="str">
        <x:v>EMA52-300 cross</x:v>
      </x:c>
      <x:c r="N310" s="120" t="str">
        <x:v>ema25_adx20_slope01</x:v>
      </x:c>
    </x:row>
    <x:row r="311" ht="23" customHeight="1">
      <x:c r="A311" s="120" t="str">
        <x:v>EMA25 ADX &gt;= 20 且斜率 &gt;= 0.1</x:v>
      </x:c>
      <x:c r="B311" s="120" t="str">
        <x:v>多</x:v>
      </x:c>
      <x:c r="C311" s="124" t="n">
        <x:v>45506</x:v>
      </x:c>
      <x:c r="D311" s="124" t="n">
        <x:v>45507</x:v>
      </x:c>
      <x:c r="E311" s="125" t="n">
        <x:v>65354.02</x:v>
      </x:c>
      <x:c r="F311" s="125" t="n">
        <x:v>61498.34</x:v>
      </x:c>
      <x:c r="G311" s="120" t="n">
        <x:v>1</x:v>
      </x:c>
      <x:c r="H311" s="125" t="n">
        <x:v>-609.378330514328</x:v>
      </x:c>
      <x:c r="I311" s="126" t="n">
        <x:f>H311/'Data &amp; Targets'!$C$34</x:f>
        <x:v>-0.0609378330514328</x:v>
      </x:c>
      <x:c r="J311" s="126" t="n">
        <x:v>0.00370474532400622</x:v>
      </x:c>
      <x:c r="K311" s="120" t="str">
        <x:v>已平仓</x:v>
      </x:c>
      <x:c r="L311" s="120" t="str">
        <x:f>IF(K311="未平仓","浮盈未实现",IF(I311&gt;='Data &amp; Targets'!$C$31,"大收益交易",IF(I311&lt;0,"亏损","普通盈利")))</x:f>
        <x:v>亏损</x:v>
      </x:c>
      <x:c r="M311" s="120" t="str">
        <x:v>EMA52-300 cross</x:v>
      </x:c>
      <x:c r="N311" s="120" t="str">
        <x:v>ema25_adx20_slope01</x:v>
      </x:c>
    </x:row>
    <x:row r="312" ht="23" customHeight="1">
      <x:c r="A312" s="120" t="str">
        <x:v>EMA25 ADX &gt;= 20 且斜率 &gt;= 0.1</x:v>
      </x:c>
      <x:c r="B312" s="120" t="str">
        <x:v>多</x:v>
      </x:c>
      <x:c r="C312" s="124" t="n">
        <x:v>45651</x:v>
      </x:c>
      <x:c r="D312" s="124" t="n">
        <x:v>45667</x:v>
      </x:c>
      <x:c r="E312" s="125" t="n">
        <x:v>98663.58</x:v>
      </x:c>
      <x:c r="F312" s="125" t="n">
        <x:v>92552.49</x:v>
      </x:c>
      <x:c r="G312" s="120" t="n">
        <x:v>16</x:v>
      </x:c>
      <x:c r="H312" s="125" t="n">
        <x:v>-638.7672198799189</x:v>
      </x:c>
      <x:c r="I312" s="126" t="n">
        <x:f>H312/'Data &amp; Targets'!$C$34</x:f>
        <x:v>-0.0638767219879919</x:v>
      </x:c>
      <x:c r="J312" s="126" t="n">
        <x:v>0.041158044336116806</x:v>
      </x:c>
      <x:c r="K312" s="120" t="str">
        <x:v>已平仓</x:v>
      </x:c>
      <x:c r="L312" s="120" t="str">
        <x:f>IF(K312="未平仓","浮盈未实现",IF(I312&gt;='Data &amp; Targets'!$C$31,"大收益交易",IF(I312&lt;0,"亏损","普通盈利")))</x:f>
        <x:v>亏损</x:v>
      </x:c>
      <x:c r="M312" s="120" t="str">
        <x:v>EMA52-300 cross</x:v>
      </x:c>
      <x:c r="N312" s="120" t="str">
        <x:v>ema25_adx20_slope01</x:v>
      </x:c>
    </x:row>
    <x:row r="313" ht="23" customHeight="1">
      <x:c r="A313" s="120" t="str">
        <x:v>EMA25 ADX &gt;= 20 且斜率 &gt;= 0.1</x:v>
      </x:c>
      <x:c r="B313" s="120" t="str">
        <x:v>多</x:v>
      </x:c>
      <x:c r="C313" s="124" t="n">
        <x:v>45809</x:v>
      </x:c>
      <x:c r="D313" s="124" t="n">
        <x:v>45830</x:v>
      </x:c>
      <x:c r="E313" s="125" t="n">
        <x:v>104591.88</x:v>
      </x:c>
      <x:c r="F313" s="125" t="n">
        <x:v>102120.02</x:v>
      </x:c>
      <x:c r="G313" s="120" t="n">
        <x:v>21</x:v>
      </x:c>
      <x:c r="H313" s="125" t="n">
        <x:v>-256.0975001118634</x:v>
      </x:c>
      <x:c r="I313" s="126" t="n">
        <x:f>H313/'Data &amp; Targets'!$C$34</x:f>
        <x:v>-0.025609750011186337</x:v>
      </x:c>
      <x:c r="J313" s="126" t="n">
        <x:v>0.056775822367854945</x:v>
      </x:c>
      <x:c r="K313" s="120" t="str">
        <x:v>已平仓</x:v>
      </x:c>
      <x:c r="L313" s="120" t="str">
        <x:f>IF(K313="未平仓","浮盈未实现",IF(I313&gt;='Data &amp; Targets'!$C$31,"大收益交易",IF(I313&lt;0,"亏损","普通盈利")))</x:f>
        <x:v>亏损</x:v>
      </x:c>
      <x:c r="M313" s="120" t="str">
        <x:v>EMA52-300 cross</x:v>
      </x:c>
      <x:c r="N313" s="120" t="str">
        <x:v>ema25_adx20_slope01</x:v>
      </x:c>
    </x:row>
    <x:row r="314" ht="23" customHeight="1">
      <x:c r="A314" s="120" t="str">
        <x:v>EMA25 排除ER20&lt;0.2且EMA52绝对斜率&lt;0.1</x:v>
      </x:c>
      <x:c r="B314" s="120" t="str">
        <x:v>多</x:v>
      </x:c>
      <x:c r="C314" s="124" t="n">
        <x:v>45372</x:v>
      </x:c>
      <x:c r="D314" s="124" t="n">
        <x:v>45396</x:v>
      </x:c>
      <x:c r="E314" s="125" t="n">
        <x:v>67840.51</x:v>
      </x:c>
      <x:c r="F314" s="125" t="n">
        <x:v>63924.52</x:v>
      </x:c>
      <x:c r="G314" s="120" t="n">
        <x:v>24</x:v>
      </x:c>
      <x:c r="H314" s="125" t="n">
        <x:v>-596.6575177574576</x:v>
      </x:c>
      <x:c r="I314" s="126" t="n">
        <x:f>H314/'Data &amp; Targets'!$C$34</x:f>
        <x:v>-0.05966575177574576</x:v>
      </x:c>
      <x:c r="J314" s="126" t="n">
        <x:v>0.07307551196180584</x:v>
      </x:c>
      <x:c r="K314" s="120" t="str">
        <x:v>已平仓</x:v>
      </x:c>
      <x:c r="L314" s="120" t="str">
        <x:f>IF(K314="未平仓","浮盈未实现",IF(I314&gt;='Data &amp; Targets'!$C$31,"大收益交易",IF(I314&lt;0,"亏损","普通盈利")))</x:f>
        <x:v>亏损</x:v>
      </x:c>
      <x:c r="M314" s="120" t="str">
        <x:v>EMA52-300 cross</x:v>
      </x:c>
      <x:c r="N314" s="120" t="str">
        <x:v>ema25_flat_veto0.1</x:v>
      </x:c>
    </x:row>
    <x:row r="315" ht="23" customHeight="1">
      <x:c r="A315" s="120" t="str">
        <x:v>EMA25 排除ER20&lt;0.2且EMA52绝对斜率&lt;0.1</x:v>
      </x:c>
      <x:c r="B315" s="120" t="str">
        <x:v>多</x:v>
      </x:c>
      <x:c r="C315" s="124" t="n">
        <x:v>45506</x:v>
      </x:c>
      <x:c r="D315" s="124" t="n">
        <x:v>45507</x:v>
      </x:c>
      <x:c r="E315" s="125" t="n">
        <x:v>65354.02</x:v>
      </x:c>
      <x:c r="F315" s="125" t="n">
        <x:v>61498.34</x:v>
      </x:c>
      <x:c r="G315" s="120" t="n">
        <x:v>1</x:v>
      </x:c>
      <x:c r="H315" s="125" t="n">
        <x:v>-609.378330514328</x:v>
      </x:c>
      <x:c r="I315" s="126" t="n">
        <x:f>H315/'Data &amp; Targets'!$C$34</x:f>
        <x:v>-0.0609378330514328</x:v>
      </x:c>
      <x:c r="J315" s="126" t="n">
        <x:v>0.00370474532400622</x:v>
      </x:c>
      <x:c r="K315" s="120" t="str">
        <x:v>已平仓</x:v>
      </x:c>
      <x:c r="L315" s="120" t="str">
        <x:f>IF(K315="未平仓","浮盈未实现",IF(I315&gt;='Data &amp; Targets'!$C$31,"大收益交易",IF(I315&lt;0,"亏损","普通盈利")))</x:f>
        <x:v>亏损</x:v>
      </x:c>
      <x:c r="M315" s="120" t="str">
        <x:v>EMA52-300 cross</x:v>
      </x:c>
      <x:c r="N315" s="120" t="str">
        <x:v>ema25_flat_veto0.1</x:v>
      </x:c>
    </x:row>
    <x:row r="316" ht="23" customHeight="1">
      <x:c r="A316" s="120" t="str">
        <x:v>EMA25 排除ER20&lt;0.2且EMA52绝对斜率&lt;0.1</x:v>
      </x:c>
      <x:c r="B316" s="120" t="str">
        <x:v>多</x:v>
      </x:c>
      <x:c r="C316" s="124" t="n">
        <x:v>45651</x:v>
      </x:c>
      <x:c r="D316" s="124" t="n">
        <x:v>45667</x:v>
      </x:c>
      <x:c r="E316" s="125" t="n">
        <x:v>98663.58</x:v>
      </x:c>
      <x:c r="F316" s="125" t="n">
        <x:v>92552.49</x:v>
      </x:c>
      <x:c r="G316" s="120" t="n">
        <x:v>16</x:v>
      </x:c>
      <x:c r="H316" s="125" t="n">
        <x:v>-638.7672198799189</x:v>
      </x:c>
      <x:c r="I316" s="126" t="n">
        <x:f>H316/'Data &amp; Targets'!$C$34</x:f>
        <x:v>-0.0638767219879919</x:v>
      </x:c>
      <x:c r="J316" s="126" t="n">
        <x:v>0.041158044336116806</x:v>
      </x:c>
      <x:c r="K316" s="120" t="str">
        <x:v>已平仓</x:v>
      </x:c>
      <x:c r="L316" s="120" t="str">
        <x:f>IF(K316="未平仓","浮盈未实现",IF(I316&gt;='Data &amp; Targets'!$C$31,"大收益交易",IF(I316&lt;0,"亏损","普通盈利")))</x:f>
        <x:v>亏损</x:v>
      </x:c>
      <x:c r="M316" s="120" t="str">
        <x:v>EMA52-300 cross</x:v>
      </x:c>
      <x:c r="N316" s="120" t="str">
        <x:v>ema25_flat_veto0.1</x:v>
      </x:c>
    </x:row>
    <x:row r="317" ht="23" customHeight="1">
      <x:c r="A317" s="120" t="str">
        <x:v>EMA25 排除ER20&lt;0.2且EMA52绝对斜率&lt;0.1</x:v>
      </x:c>
      <x:c r="B317" s="120" t="str">
        <x:v>多</x:v>
      </x:c>
      <x:c r="C317" s="124" t="n">
        <x:v>45692</x:v>
      </x:c>
      <x:c r="D317" s="124" t="n">
        <x:v>45693</x:v>
      </x:c>
      <x:c r="E317" s="125" t="n">
        <x:v>101328.51</x:v>
      </x:c>
      <x:c r="F317" s="125" t="n">
        <x:v>97763.14</x:v>
      </x:c>
      <x:c r="G317" s="120" t="n">
        <x:v>1</x:v>
      </x:c>
      <x:c r="H317" s="125" t="n">
        <x:v>-371.5106094030195</x:v>
      </x:c>
      <x:c r="I317" s="126" t="n">
        <x:f>H317/'Data &amp; Targets'!$C$34</x:f>
        <x:v>-0.03715106094030195</x:v>
      </x:c>
      <x:c r="J317" s="126" t="n">
        <x:v>0.0039850581045748346</x:v>
      </x:c>
      <x:c r="K317" s="120" t="str">
        <x:v>已平仓</x:v>
      </x:c>
      <x:c r="L317" s="120" t="str">
        <x:f>IF(K317="未平仓","浮盈未实现",IF(I317&gt;='Data &amp; Targets'!$C$31,"大收益交易",IF(I317&lt;0,"亏损","普通盈利")))</x:f>
        <x:v>亏损</x:v>
      </x:c>
      <x:c r="M317" s="120" t="str">
        <x:v>EMA52-300 cross</x:v>
      </x:c>
      <x:c r="N317" s="120" t="str">
        <x:v>ema25_flat_veto0.1</x:v>
      </x:c>
    </x:row>
    <x:row r="318" ht="23" customHeight="1">
      <x:c r="A318" s="120" t="str">
        <x:v>EMA25 排除ER20&lt;0.2且EMA52绝对斜率&lt;0.1</x:v>
      </x:c>
      <x:c r="B318" s="120" t="str">
        <x:v>多</x:v>
      </x:c>
      <x:c r="C318" s="124" t="n">
        <x:v>45809</x:v>
      </x:c>
      <x:c r="D318" s="124" t="n">
        <x:v>45830</x:v>
      </x:c>
      <x:c r="E318" s="125" t="n">
        <x:v>104591.88</x:v>
      </x:c>
      <x:c r="F318" s="125" t="n">
        <x:v>102120.02</x:v>
      </x:c>
      <x:c r="G318" s="120" t="n">
        <x:v>21</x:v>
      </x:c>
      <x:c r="H318" s="125" t="n">
        <x:v>-256.0975001118634</x:v>
      </x:c>
      <x:c r="I318" s="126" t="n">
        <x:f>H318/'Data &amp; Targets'!$C$34</x:f>
        <x:v>-0.025609750011186337</x:v>
      </x:c>
      <x:c r="J318" s="126" t="n">
        <x:v>0.056775822367854945</x:v>
      </x:c>
      <x:c r="K318" s="120" t="str">
        <x:v>已平仓</x:v>
      </x:c>
      <x:c r="L318" s="120" t="str">
        <x:f>IF(K318="未平仓","浮盈未实现",IF(I318&gt;='Data &amp; Targets'!$C$31,"大收益交易",IF(I318&lt;0,"亏损","普通盈利")))</x:f>
        <x:v>亏损</x:v>
      </x:c>
      <x:c r="M318" s="120" t="str">
        <x:v>EMA52-300 cross</x:v>
      </x:c>
      <x:c r="N318" s="120" t="str">
        <x:v>ema25_flat_veto0.1</x:v>
      </x:c>
    </x:row>
    <x:row r="319" ht="23" customHeight="1">
      <x:c r="A319" s="120" t="str">
        <x:v>EMA25 排除ER20&lt;0.2且EMA52绝对斜率&lt;0.1</x:v>
      </x:c>
      <x:c r="B319" s="120" t="str">
        <x:v>多</x:v>
      </x:c>
      <x:c r="C319" s="124" t="n">
        <x:v>45841</x:v>
      </x:c>
      <x:c r="D319" s="124" t="n">
        <x:v>45889</x:v>
      </x:c>
      <x:c r="E319" s="125" t="n">
        <x:v>108849.59</x:v>
      </x:c>
      <x:c r="F319" s="125" t="n">
        <x:v>112872.95</x:v>
      </x:c>
      <x:c r="G319" s="120" t="n">
        <x:v>48</x:v>
      </x:c>
      <x:c r="H319" s="125" t="n">
        <x:v>349.2560201650737</x:v>
      </x:c>
      <x:c r="I319" s="126" t="n">
        <x:f>H319/'Data &amp; Targets'!$C$34</x:f>
        <x:v>0.03492560201650737</x:v>
      </x:c>
      <x:c r="J319" s="126" t="n">
        <x:v>0.14354128481329154</x:v>
      </x:c>
      <x:c r="K319" s="120" t="str">
        <x:v>已平仓</x:v>
      </x:c>
      <x:c r="L319" s="120" t="str">
        <x:f>IF(K319="未平仓","浮盈未实现",IF(I319&gt;='Data &amp; Targets'!$C$31,"大收益交易",IF(I319&lt;0,"亏损","普通盈利")))</x:f>
        <x:v>普通盈利</x:v>
      </x:c>
      <x:c r="M319" s="120" t="str">
        <x:v>EMA52-300 cross</x:v>
      </x:c>
      <x:c r="N319" s="120" t="str">
        <x:v>ema25_flat_veto0.1</x:v>
      </x:c>
    </x:row>
    <x:row r="320" ht="23" customHeight="1">
      <x:c r="A320" s="120" t="str">
        <x:v>EMA25 排除ER20&lt;0.2且EMA52绝对斜率&lt;0.1</x:v>
      </x:c>
      <x:c r="B320" s="120" t="str">
        <x:v>多</x:v>
      </x:c>
      <x:c r="C320" s="124" t="n">
        <x:v>45930</x:v>
      </x:c>
      <x:c r="D320" s="124" t="n">
        <x:v>45941</x:v>
      </x:c>
      <x:c r="E320" s="125" t="n">
        <x:v>114311.97</x:v>
      </x:c>
      <x:c r="F320" s="125" t="n">
        <x:v>112774.49</x:v>
      </x:c>
      <x:c r="G320" s="120" t="n">
        <x:v>11</x:v>
      </x:c>
      <x:c r="H320" s="125" t="n">
        <x:v>-154.36410202711016</x:v>
      </x:c>
      <x:c r="I320" s="126" t="n">
        <x:f>H320/'Data &amp; Targets'!$C$34</x:f>
        <x:v>-0.015436410202711016</x:v>
      </x:c>
      <x:c r="J320" s="126" t="n">
        <x:v>0.10399313387740584</x:v>
      </x:c>
      <x:c r="K320" s="120" t="str">
        <x:v>已平仓</x:v>
      </x:c>
      <x:c r="L320" s="120" t="str">
        <x:f>IF(K320="未平仓","浮盈未实现",IF(I320&gt;='Data &amp; Targets'!$C$31,"大收益交易",IF(I320&lt;0,"亏损","普通盈利")))</x:f>
        <x:v>亏损</x:v>
      </x:c>
      <x:c r="M320" s="120" t="str">
        <x:v>EMA52-300 cross</x:v>
      </x:c>
      <x:c r="N320" s="120" t="str">
        <x:v>ema25_flat_veto0.1</x:v>
      </x:c>
    </x:row>
    <x:row r="321" ht="23" customHeight="1">
      <x:c r="A321" s="120" t="str">
        <x:v>EMA25 排除ER20&lt;0.2且EMA52绝对斜率&lt;0.1</x:v>
      </x:c>
      <x:c r="B321" s="120" t="str">
        <x:v>多</x:v>
      </x:c>
      <x:c r="C321" s="124" t="n">
        <x:v>46105</x:v>
      </x:c>
      <x:c r="D321" s="124" t="n">
        <x:v>46165</x:v>
      </x:c>
      <x:c r="E321" s="125" t="n">
        <x:v>70906.45</x:v>
      </x:c>
      <x:c r="F321" s="125" t="n">
        <x:v>75539.5</x:v>
      </x:c>
      <x:c r="G321" s="120" t="n">
        <x:v>60</x:v>
      </x:c>
      <x:c r="H321" s="125" t="n">
        <x:v>632.7497780526317</x:v>
      </x:c>
      <x:c r="I321" s="126" t="n">
        <x:f>H321/'Data &amp; Targets'!$C$34</x:f>
        <x:v>0.06327497780526317</x:v>
      </x:c>
      <x:c r="J321" s="126" t="n">
        <x:v>0.16844095283292293</x:v>
      </x:c>
      <x:c r="K321" s="120" t="str">
        <x:v>已平仓</x:v>
      </x:c>
      <x:c r="L321" s="120" t="str">
        <x:f>IF(K321="未平仓","浮盈未实现",IF(I321&gt;='Data &amp; Targets'!$C$31,"大收益交易",IF(I321&lt;0,"亏损","普通盈利")))</x:f>
        <x:v>普通盈利</x:v>
      </x:c>
      <x:c r="M321" s="120" t="str">
        <x:v>EMA52-300 cross</x:v>
      </x:c>
      <x:c r="N321" s="120" t="str">
        <x:v>ema25_flat_veto0.1</x:v>
      </x:c>
    </x:row>
    <x:row r="322" ht="23" customHeight="1">
      <x:c r="A322" s="120" t="str">
        <x:v>EMA25 排除ER20&lt;0.2且EMA52绝对斜率&lt;0.1</x:v>
      </x:c>
      <x:c r="B322" s="120" t="str">
        <x:v>多</x:v>
      </x:c>
      <x:c r="C322" s="124" t="n">
        <x:v>46239</x:v>
      </x:c>
      <x:c r="D322" s="124" t="n">
        <x:v>46241</x:v>
      </x:c>
      <x:c r="E322" s="125" t="n">
        <x:v>64106.55</x:v>
      </x:c>
      <x:c r="F322" s="125" t="n">
        <x:v>64323.61</x:v>
      </x:c>
      <x:c r="G322" s="120" t="n">
        <x:v>2</x:v>
      </x:c>
      <x:c r="H322" s="125" t="n">
        <x:v>13.8253953769151</x:v>
      </x:c>
      <x:c r="I322" s="126" t="n">
        <x:f>H322/'Data &amp; Targets'!$C$34</x:f>
        <x:v>0.00138253953769151</x:v>
      </x:c>
      <x:c r="J322" s="126" t="n">
        <x:v>0.014330360938156872</x:v>
      </x:c>
      <x:c r="K322" s="120" t="str">
        <x:v>已平仓</x:v>
      </x:c>
      <x:c r="L322" s="120" t="str">
        <x:f>IF(K322="未平仓","浮盈未实现",IF(I322&gt;='Data &amp; Targets'!$C$31,"大收益交易",IF(I322&lt;0,"亏损","普通盈利")))</x:f>
        <x:v>普通盈利</x:v>
      </x:c>
      <x:c r="M322" s="120" t="str">
        <x:v>EMA52-300 cross</x:v>
      </x:c>
      <x:c r="N322" s="120" t="str">
        <x:v>ema25_flat_veto0.1</x:v>
      </x:c>
    </x:row>
    <x:row r="323" ht="23" customHeight="1">
      <x:c r="A323" s="120" t="str">
        <x:v>EMA25 排除ER20&lt;0.2且EMA52绝对斜率&lt;0.1</x:v>
      </x:c>
      <x:c r="B323" s="120" t="str">
        <x:v>多</x:v>
      </x:c>
      <x:c r="C323" s="124" t="n">
        <x:v>46252</x:v>
      </x:c>
      <x:c r="D323" s="124"/>
      <x:c r="E323" s="125" t="n">
        <x:v>64532.11</x:v>
      </x:c>
      <x:c r="F323" s="125" t="n">
        <x:v>80341.83</x:v>
      </x:c>
      <x:c r="G323" s="120" t="n">
        <x:v>19</x:v>
      </x:c>
      <x:c r="H323" s="125" t="n">
        <x:v>2439.899747583025</x:v>
      </x:c>
      <x:c r="I323" s="126" t="n">
        <x:f>H323/'Data &amp; Targets'!$C$34</x:f>
        <x:v>0.2439899747583025</x:v>
      </x:c>
      <x:c r="J323" s="126"/>
      <x:c r="K323" s="120" t="str">
        <x:v>未平仓</x:v>
      </x:c>
      <x:c r="L323" s="120" t="str">
        <x:f>IF(K323="未平仓","浮盈未实现",IF(I323&gt;='Data &amp; Targets'!$C$31,"大收益交易",IF(I323&lt;0,"亏损","普通盈利")))</x:f>
        <x:v>浮盈未实现</x:v>
      </x:c>
      <x:c r="M323" s="120" t="str">
        <x:v>期末按收盘估值；仅扣已付开仓费</x:v>
      </x:c>
      <x:c r="N323" s="120" t="str">
        <x:v>ema25_flat_veto0.1</x:v>
      </x:c>
    </x:row>
    <x:row r="324" ht="23" customHeight="1">
      <x:c r="A324" s="120" t="str">
        <x:v>EMA25 排除ER20&lt;0.2且EMA52绝对斜率&lt;0.2</x:v>
      </x:c>
      <x:c r="B324" s="120" t="str">
        <x:v>多</x:v>
      </x:c>
      <x:c r="C324" s="124" t="n">
        <x:v>45372</x:v>
      </x:c>
      <x:c r="D324" s="124" t="n">
        <x:v>45396</x:v>
      </x:c>
      <x:c r="E324" s="125" t="n">
        <x:v>67840.51</x:v>
      </x:c>
      <x:c r="F324" s="125" t="n">
        <x:v>63924.52</x:v>
      </x:c>
      <x:c r="G324" s="120" t="n">
        <x:v>24</x:v>
      </x:c>
      <x:c r="H324" s="125" t="n">
        <x:v>-596.6575177574576</x:v>
      </x:c>
      <x:c r="I324" s="126" t="n">
        <x:f>H324/'Data &amp; Targets'!$C$34</x:f>
        <x:v>-0.05966575177574576</x:v>
      </x:c>
      <x:c r="J324" s="126" t="n">
        <x:v>0.07307551196180584</x:v>
      </x:c>
      <x:c r="K324" s="120" t="str">
        <x:v>已平仓</x:v>
      </x:c>
      <x:c r="L324" s="120" t="str">
        <x:f>IF(K324="未平仓","浮盈未实现",IF(I324&gt;='Data &amp; Targets'!$C$31,"大收益交易",IF(I324&lt;0,"亏损","普通盈利")))</x:f>
        <x:v>亏损</x:v>
      </x:c>
      <x:c r="M324" s="120" t="str">
        <x:v>EMA52-300 cross</x:v>
      </x:c>
      <x:c r="N324" s="120" t="str">
        <x:v>ema25_flat_veto0.2</x:v>
      </x:c>
    </x:row>
    <x:row r="325" ht="23" customHeight="1">
      <x:c r="A325" s="120" t="str">
        <x:v>EMA25 排除ER20&lt;0.2且EMA52绝对斜率&lt;0.2</x:v>
      </x:c>
      <x:c r="B325" s="120" t="str">
        <x:v>多</x:v>
      </x:c>
      <x:c r="C325" s="124" t="n">
        <x:v>45506</x:v>
      </x:c>
      <x:c r="D325" s="124" t="n">
        <x:v>45507</x:v>
      </x:c>
      <x:c r="E325" s="125" t="n">
        <x:v>65354.02</x:v>
      </x:c>
      <x:c r="F325" s="125" t="n">
        <x:v>61498.34</x:v>
      </x:c>
      <x:c r="G325" s="120" t="n">
        <x:v>1</x:v>
      </x:c>
      <x:c r="H325" s="125" t="n">
        <x:v>-609.378330514328</x:v>
      </x:c>
      <x:c r="I325" s="126" t="n">
        <x:f>H325/'Data &amp; Targets'!$C$34</x:f>
        <x:v>-0.0609378330514328</x:v>
      </x:c>
      <x:c r="J325" s="126" t="n">
        <x:v>0.00370474532400622</x:v>
      </x:c>
      <x:c r="K325" s="120" t="str">
        <x:v>已平仓</x:v>
      </x:c>
      <x:c r="L325" s="120" t="str">
        <x:f>IF(K325="未平仓","浮盈未实现",IF(I325&gt;='Data &amp; Targets'!$C$31,"大收益交易",IF(I325&lt;0,"亏损","普通盈利")))</x:f>
        <x:v>亏损</x:v>
      </x:c>
      <x:c r="M325" s="120" t="str">
        <x:v>EMA52-300 cross</x:v>
      </x:c>
      <x:c r="N325" s="120" t="str">
        <x:v>ema25_flat_veto0.2</x:v>
      </x:c>
    </x:row>
    <x:row r="326" ht="23" customHeight="1">
      <x:c r="A326" s="120" t="str">
        <x:v>EMA25 排除ER20&lt;0.2且EMA52绝对斜率&lt;0.2</x:v>
      </x:c>
      <x:c r="B326" s="120" t="str">
        <x:v>多</x:v>
      </x:c>
      <x:c r="C326" s="124" t="n">
        <x:v>45651</x:v>
      </x:c>
      <x:c r="D326" s="124" t="n">
        <x:v>45667</x:v>
      </x:c>
      <x:c r="E326" s="125" t="n">
        <x:v>98663.58</x:v>
      </x:c>
      <x:c r="F326" s="125" t="n">
        <x:v>92552.49</x:v>
      </x:c>
      <x:c r="G326" s="120" t="n">
        <x:v>16</x:v>
      </x:c>
      <x:c r="H326" s="125" t="n">
        <x:v>-638.7672198799189</x:v>
      </x:c>
      <x:c r="I326" s="126" t="n">
        <x:f>H326/'Data &amp; Targets'!$C$34</x:f>
        <x:v>-0.0638767219879919</x:v>
      </x:c>
      <x:c r="J326" s="126" t="n">
        <x:v>0.041158044336116806</x:v>
      </x:c>
      <x:c r="K326" s="120" t="str">
        <x:v>已平仓</x:v>
      </x:c>
      <x:c r="L326" s="120" t="str">
        <x:f>IF(K326="未平仓","浮盈未实现",IF(I326&gt;='Data &amp; Targets'!$C$31,"大收益交易",IF(I326&lt;0,"亏损","普通盈利")))</x:f>
        <x:v>亏损</x:v>
      </x:c>
      <x:c r="M326" s="120" t="str">
        <x:v>EMA52-300 cross</x:v>
      </x:c>
      <x:c r="N326" s="120" t="str">
        <x:v>ema25_flat_veto0.2</x:v>
      </x:c>
    </x:row>
    <x:row r="327" ht="23" customHeight="1">
      <x:c r="A327" s="120" t="str">
        <x:v>EMA25 排除ER20&lt;0.2且EMA52绝对斜率&lt;0.2</x:v>
      </x:c>
      <x:c r="B327" s="120" t="str">
        <x:v>多</x:v>
      </x:c>
      <x:c r="C327" s="124" t="n">
        <x:v>45809</x:v>
      </x:c>
      <x:c r="D327" s="124" t="n">
        <x:v>45830</x:v>
      </x:c>
      <x:c r="E327" s="125" t="n">
        <x:v>104591.88</x:v>
      </x:c>
      <x:c r="F327" s="125" t="n">
        <x:v>102120.02</x:v>
      </x:c>
      <x:c r="G327" s="120" t="n">
        <x:v>21</x:v>
      </x:c>
      <x:c r="H327" s="125" t="n">
        <x:v>-256.0975001118634</x:v>
      </x:c>
      <x:c r="I327" s="126" t="n">
        <x:f>H327/'Data &amp; Targets'!$C$34</x:f>
        <x:v>-0.025609750011186337</x:v>
      </x:c>
      <x:c r="J327" s="126" t="n">
        <x:v>0.056775822367854945</x:v>
      </x:c>
      <x:c r="K327" s="120" t="str">
        <x:v>已平仓</x:v>
      </x:c>
      <x:c r="L327" s="120" t="str">
        <x:f>IF(K327="未平仓","浮盈未实现",IF(I327&gt;='Data &amp; Targets'!$C$31,"大收益交易",IF(I327&lt;0,"亏损","普通盈利")))</x:f>
        <x:v>亏损</x:v>
      </x:c>
      <x:c r="M327" s="120" t="str">
        <x:v>EMA52-300 cross</x:v>
      </x:c>
      <x:c r="N327" s="120" t="str">
        <x:v>ema25_flat_veto0.2</x:v>
      </x:c>
    </x:row>
    <x:row r="328" ht="23" customHeight="1">
      <x:c r="A328" s="120" t="str">
        <x:v>EMA25 排除ER20&lt;0.2且EMA52绝对斜率&lt;0.2</x:v>
      </x:c>
      <x:c r="B328" s="120" t="str">
        <x:v>多</x:v>
      </x:c>
      <x:c r="C328" s="124" t="n">
        <x:v>45841</x:v>
      </x:c>
      <x:c r="D328" s="124" t="n">
        <x:v>45889</x:v>
      </x:c>
      <x:c r="E328" s="125" t="n">
        <x:v>108849.59</x:v>
      </x:c>
      <x:c r="F328" s="125" t="n">
        <x:v>112872.95</x:v>
      </x:c>
      <x:c r="G328" s="120" t="n">
        <x:v>48</x:v>
      </x:c>
      <x:c r="H328" s="125" t="n">
        <x:v>349.2560201650737</x:v>
      </x:c>
      <x:c r="I328" s="126" t="n">
        <x:f>H328/'Data &amp; Targets'!$C$34</x:f>
        <x:v>0.03492560201650737</x:v>
      </x:c>
      <x:c r="J328" s="126" t="n">
        <x:v>0.14354128481329154</x:v>
      </x:c>
      <x:c r="K328" s="120" t="str">
        <x:v>已平仓</x:v>
      </x:c>
      <x:c r="L328" s="120" t="str">
        <x:f>IF(K328="未平仓","浮盈未实现",IF(I328&gt;='Data &amp; Targets'!$C$31,"大收益交易",IF(I328&lt;0,"亏损","普通盈利")))</x:f>
        <x:v>普通盈利</x:v>
      </x:c>
      <x:c r="M328" s="120" t="str">
        <x:v>EMA52-300 cross</x:v>
      </x:c>
      <x:c r="N328" s="120" t="str">
        <x:v>ema25_flat_veto0.2</x:v>
      </x:c>
    </x:row>
    <x:row r="329" ht="23" customHeight="1">
      <x:c r="A329" s="120" t="str">
        <x:v>EMA25 排除ER20&lt;0.2且EMA52绝对斜率&lt;0.2</x:v>
      </x:c>
      <x:c r="B329" s="120" t="str">
        <x:v>多</x:v>
      </x:c>
      <x:c r="C329" s="124" t="n">
        <x:v>45930</x:v>
      </x:c>
      <x:c r="D329" s="124" t="n">
        <x:v>45941</x:v>
      </x:c>
      <x:c r="E329" s="125" t="n">
        <x:v>114311.97</x:v>
      </x:c>
      <x:c r="F329" s="125" t="n">
        <x:v>112774.49</x:v>
      </x:c>
      <x:c r="G329" s="120" t="n">
        <x:v>11</x:v>
      </x:c>
      <x:c r="H329" s="125" t="n">
        <x:v>-154.36410202711016</x:v>
      </x:c>
      <x:c r="I329" s="126" t="n">
        <x:f>H329/'Data &amp; Targets'!$C$34</x:f>
        <x:v>-0.015436410202711016</x:v>
      </x:c>
      <x:c r="J329" s="126" t="n">
        <x:v>0.10399313387740584</x:v>
      </x:c>
      <x:c r="K329" s="120" t="str">
        <x:v>已平仓</x:v>
      </x:c>
      <x:c r="L329" s="120" t="str">
        <x:f>IF(K329="未平仓","浮盈未实现",IF(I329&gt;='Data &amp; Targets'!$C$31,"大收益交易",IF(I329&lt;0,"亏损","普通盈利")))</x:f>
        <x:v>亏损</x:v>
      </x:c>
      <x:c r="M329" s="120" t="str">
        <x:v>EMA52-300 cross</x:v>
      </x:c>
      <x:c r="N329" s="120" t="str">
        <x:v>ema25_flat_veto0.2</x:v>
      </x:c>
    </x:row>
    <x:row r="330" ht="23" customHeight="1">
      <x:c r="A330" s="120" t="str">
        <x:v>EMA25 排除ER20&lt;0.2且EMA52绝对斜率&lt;0.2</x:v>
      </x:c>
      <x:c r="B330" s="120" t="str">
        <x:v>多</x:v>
      </x:c>
      <x:c r="C330" s="124" t="n">
        <x:v>46105</x:v>
      </x:c>
      <x:c r="D330" s="124" t="n">
        <x:v>46165</x:v>
      </x:c>
      <x:c r="E330" s="125" t="n">
        <x:v>70906.45</x:v>
      </x:c>
      <x:c r="F330" s="125" t="n">
        <x:v>75539.5</x:v>
      </x:c>
      <x:c r="G330" s="120" t="n">
        <x:v>60</x:v>
      </x:c>
      <x:c r="H330" s="125" t="n">
        <x:v>632.7497780526317</x:v>
      </x:c>
      <x:c r="I330" s="126" t="n">
        <x:f>H330/'Data &amp; Targets'!$C$34</x:f>
        <x:v>0.06327497780526317</x:v>
      </x:c>
      <x:c r="J330" s="126" t="n">
        <x:v>0.16844095283292293</x:v>
      </x:c>
      <x:c r="K330" s="120" t="str">
        <x:v>已平仓</x:v>
      </x:c>
      <x:c r="L330" s="120" t="str">
        <x:f>IF(K330="未平仓","浮盈未实现",IF(I330&gt;='Data &amp; Targets'!$C$31,"大收益交易",IF(I330&lt;0,"亏损","普通盈利")))</x:f>
        <x:v>普通盈利</x:v>
      </x:c>
      <x:c r="M330" s="120" t="str">
        <x:v>EMA52-300 cross</x:v>
      </x:c>
      <x:c r="N330" s="120" t="str">
        <x:v>ema25_flat_veto0.2</x:v>
      </x:c>
    </x:row>
    <x:row r="331" ht="23" customHeight="1">
      <x:c r="A331" s="120" t="str">
        <x:v>补入 ADX14 &gt;= 20</x:v>
      </x:c>
      <x:c r="B331" s="120" t="str">
        <x:v>多</x:v>
      </x:c>
      <x:c r="C331" s="124" t="n">
        <x:v>45372</x:v>
      </x:c>
      <x:c r="D331" s="124" t="n">
        <x:v>45396</x:v>
      </x:c>
      <x:c r="E331" s="125" t="n">
        <x:v>67840.51</x:v>
      </x:c>
      <x:c r="F331" s="125" t="n">
        <x:v>63924.52</x:v>
      </x:c>
      <x:c r="G331" s="120" t="n">
        <x:v>24</x:v>
      </x:c>
      <x:c r="H331" s="125" t="n">
        <x:v>-596.6575177574576</x:v>
      </x:c>
      <x:c r="I331" s="126" t="n">
        <x:f>H331/'Data &amp; Targets'!$C$34</x:f>
        <x:v>-0.05966575177574576</x:v>
      </x:c>
      <x:c r="J331" s="126" t="n">
        <x:v>0.07307551196180584</x:v>
      </x:c>
      <x:c r="K331" s="120" t="str">
        <x:v>已平仓</x:v>
      </x:c>
      <x:c r="L331" s="120" t="str">
        <x:f>IF(K331="未平仓","浮盈未实现",IF(I331&gt;='Data &amp; Targets'!$C$31,"大收益交易",IF(I331&lt;0,"亏损","普通盈利")))</x:f>
        <x:v>亏损</x:v>
      </x:c>
      <x:c r="M331" s="120" t="str">
        <x:v>EMA52-300 cross</x:v>
      </x:c>
      <x:c r="N331" s="120" t="str">
        <x:v>rearm_adx20</x:v>
      </x:c>
    </x:row>
    <x:row r="332" ht="23" customHeight="1">
      <x:c r="A332" s="120" t="str">
        <x:v>补入 ADX14 &gt;= 20</x:v>
      </x:c>
      <x:c r="B332" s="120" t="str">
        <x:v>多</x:v>
      </x:c>
      <x:c r="C332" s="124" t="n">
        <x:v>45405</x:v>
      </x:c>
      <x:c r="D332" s="124" t="n">
        <x:v>45409</x:v>
      </x:c>
      <x:c r="E332" s="125" t="n">
        <x:v>66819.32</x:v>
      </x:c>
      <x:c r="F332" s="125" t="n">
        <x:v>63770</x:v>
      </x:c>
      <x:c r="G332" s="120" t="n">
        <x:v>4</x:v>
      </x:c>
      <x:c r="H332" s="125" t="n">
        <x:v>-475.896689759789</x:v>
      </x:c>
      <x:c r="I332" s="126" t="n">
        <x:f>H332/'Data &amp; Targets'!$C$34</x:f>
        <x:v>-0.047589668975978903</x:v>
      </x:c>
      <x:c r="J332" s="126" t="n">
        <x:v>0.005442886877627506</x:v>
      </x:c>
      <x:c r="K332" s="120" t="str">
        <x:v>已平仓</x:v>
      </x:c>
      <x:c r="L332" s="120" t="str">
        <x:f>IF(K332="未平仓","浮盈未实现",IF(I332&gt;='Data &amp; Targets'!$C$31,"大收益交易",IF(I332&lt;0,"亏损","普通盈利")))</x:f>
        <x:v>亏损</x:v>
      </x:c>
      <x:c r="M332" s="120" t="str">
        <x:v>EMA52-300 cross</x:v>
      </x:c>
      <x:c r="N332" s="120" t="str">
        <x:v>rearm_adx20</x:v>
      </x:c>
    </x:row>
    <x:row r="333" ht="23" customHeight="1">
      <x:c r="A333" s="120" t="str">
        <x:v>补入 ADX14 &gt;= 20</x:v>
      </x:c>
      <x:c r="B333" s="120" t="str">
        <x:v>多</x:v>
      </x:c>
      <x:c r="C333" s="124" t="n">
        <x:v>45434</x:v>
      </x:c>
      <x:c r="D333" s="124" t="n">
        <x:v>45458</x:v>
      </x:c>
      <x:c r="E333" s="125" t="n">
        <x:v>70148.34</x:v>
      </x:c>
      <x:c r="F333" s="125" t="n">
        <x:v>66043.99</x:v>
      </x:c>
      <x:c r="G333" s="120" t="n">
        <x:v>24</x:v>
      </x:c>
      <x:c r="H333" s="125" t="n">
        <x:v>-604.5107168608681</x:v>
      </x:c>
      <x:c r="I333" s="126" t="n">
        <x:f>H333/'Data &amp; Targets'!$C$34</x:f>
        <x:v>-0.060451071686086814</x:v>
      </x:c>
      <x:c r="J333" s="126" t="n">
        <x:v>0.026353866677386817</x:v>
      </x:c>
      <x:c r="K333" s="120" t="str">
        <x:v>已平仓</x:v>
      </x:c>
      <x:c r="L333" s="120" t="str">
        <x:f>IF(K333="未平仓","浮盈未实现",IF(I333&gt;='Data &amp; Targets'!$C$31,"大收益交易",IF(I333&lt;0,"亏损","普通盈利")))</x:f>
        <x:v>亏损</x:v>
      </x:c>
      <x:c r="M333" s="120" t="str">
        <x:v>EMA52-300 cross</x:v>
      </x:c>
      <x:c r="N333" s="120" t="str">
        <x:v>rearm_adx20</x:v>
      </x:c>
    </x:row>
    <x:row r="334" ht="23" customHeight="1">
      <x:c r="A334" s="120" t="str">
        <x:v>补入 ADX14 &gt;= 20</x:v>
      </x:c>
      <x:c r="B334" s="120" t="str">
        <x:v>多</x:v>
      </x:c>
      <x:c r="C334" s="124" t="n">
        <x:v>45497</x:v>
      </x:c>
      <x:c r="D334" s="124" t="n">
        <x:v>45507</x:v>
      </x:c>
      <x:c r="E334" s="125" t="n">
        <x:v>65936</x:v>
      </x:c>
      <x:c r="F334" s="125" t="n">
        <x:v>61498.34</x:v>
      </x:c>
      <x:c r="G334" s="120" t="n">
        <x:v>10</x:v>
      </x:c>
      <x:c r="H334" s="125" t="n">
        <x:v>-692.352332564912</x:v>
      </x:c>
      <x:c r="I334" s="126" t="n">
        <x:f>H334/'Data &amp; Targets'!$C$34</x:f>
        <x:v>-0.0692352332564912</x:v>
      </x:c>
      <x:c r="J334" s="126" t="n">
        <x:v>0.0628486714389711</x:v>
      </x:c>
      <x:c r="K334" s="120" t="str">
        <x:v>已平仓</x:v>
      </x:c>
      <x:c r="L334" s="120" t="str">
        <x:f>IF(K334="未平仓","浮盈未实现",IF(I334&gt;='Data &amp; Targets'!$C$31,"大收益交易",IF(I334&lt;0,"亏损","普通盈利")))</x:f>
        <x:v>亏损</x:v>
      </x:c>
      <x:c r="M334" s="120" t="str">
        <x:v>EMA52-300 cross</x:v>
      </x:c>
      <x:c r="N334" s="120" t="str">
        <x:v>rearm_adx20</x:v>
      </x:c>
    </x:row>
    <x:row r="335" ht="23" customHeight="1">
      <x:c r="A335" s="120" t="str">
        <x:v>补入 ADX14 &gt;= 20</x:v>
      </x:c>
      <x:c r="B335" s="120" t="str">
        <x:v>多</x:v>
      </x:c>
      <x:c r="C335" s="124" t="n">
        <x:v>45570</x:v>
      </x:c>
      <x:c r="D335" s="124" t="n">
        <x:v>45575</x:v>
      </x:c>
      <x:c r="E335" s="125" t="n">
        <x:v>62086</x:v>
      </x:c>
      <x:c r="F335" s="125" t="n">
        <x:v>60636.01</x:v>
      </x:c>
      <x:c r="G335" s="120" t="n">
        <x:v>5</x:v>
      </x:c>
      <x:c r="H335" s="125" t="n">
        <x:v>-253.3118593563763</x:v>
      </x:c>
      <x:c r="I335" s="126" t="n">
        <x:f>H335/'Data &amp; Targets'!$C$34</x:f>
        <x:v>-0.02533118593563763</x:v>
      </x:c>
      <x:c r="J335" s="126" t="n">
        <x:v>0.0385302644718617</x:v>
      </x:c>
      <x:c r="K335" s="120" t="str">
        <x:v>已平仓</x:v>
      </x:c>
      <x:c r="L335" s="120" t="str">
        <x:f>IF(K335="未平仓","浮盈未实现",IF(I335&gt;='Data &amp; Targets'!$C$31,"大收益交易",IF(I335&lt;0,"亏损","普通盈利")))</x:f>
        <x:v>亏损</x:v>
      </x:c>
      <x:c r="M335" s="120" t="str">
        <x:v>EMA52-300 cross</x:v>
      </x:c>
      <x:c r="N335" s="120" t="str">
        <x:v>rearm_adx20</x:v>
      </x:c>
    </x:row>
    <x:row r="336" ht="23" customHeight="1">
      <x:c r="A336" s="120" t="str">
        <x:v>补入 ADX14 &gt;= 20</x:v>
      </x:c>
      <x:c r="B336" s="120" t="str">
        <x:v>多</x:v>
      </x:c>
      <x:c r="C336" s="124" t="n">
        <x:v>45651</x:v>
      </x:c>
      <x:c r="D336" s="124" t="n">
        <x:v>45667</x:v>
      </x:c>
      <x:c r="E336" s="125" t="n">
        <x:v>98663.58</x:v>
      </x:c>
      <x:c r="F336" s="125" t="n">
        <x:v>92552.49</x:v>
      </x:c>
      <x:c r="G336" s="120" t="n">
        <x:v>16</x:v>
      </x:c>
      <x:c r="H336" s="125" t="n">
        <x:v>-638.7672198799189</x:v>
      </x:c>
      <x:c r="I336" s="126" t="n">
        <x:f>H336/'Data &amp; Targets'!$C$34</x:f>
        <x:v>-0.0638767219879919</x:v>
      </x:c>
      <x:c r="J336" s="126" t="n">
        <x:v>0.041158044336116806</x:v>
      </x:c>
      <x:c r="K336" s="120" t="str">
        <x:v>已平仓</x:v>
      </x:c>
      <x:c r="L336" s="120" t="str">
        <x:f>IF(K336="未平仓","浮盈未实现",IF(I336&gt;='Data &amp; Targets'!$C$31,"大收益交易",IF(I336&lt;0,"亏损","普通盈利")))</x:f>
        <x:v>亏损</x:v>
      </x:c>
      <x:c r="M336" s="120" t="str">
        <x:v>EMA52-300 cross</x:v>
      </x:c>
      <x:c r="N336" s="120" t="str">
        <x:v>rearm_adx20</x:v>
      </x:c>
    </x:row>
    <x:row r="337" ht="23" customHeight="1">
      <x:c r="A337" s="120" t="str">
        <x:v>补入 ADX14 &gt;= 20</x:v>
      </x:c>
      <x:c r="B337" s="120" t="str">
        <x:v>多</x:v>
      </x:c>
      <x:c r="C337" s="124" t="n">
        <x:v>45809</x:v>
      </x:c>
      <x:c r="D337" s="124" t="n">
        <x:v>45830</x:v>
      </x:c>
      <x:c r="E337" s="125" t="n">
        <x:v>104591.88</x:v>
      </x:c>
      <x:c r="F337" s="125" t="n">
        <x:v>102120.02</x:v>
      </x:c>
      <x:c r="G337" s="120" t="n">
        <x:v>21</x:v>
      </x:c>
      <x:c r="H337" s="125" t="n">
        <x:v>-256.0975001118634</x:v>
      </x:c>
      <x:c r="I337" s="126" t="n">
        <x:f>H337/'Data &amp; Targets'!$C$34</x:f>
        <x:v>-0.025609750011186337</x:v>
      </x:c>
      <x:c r="J337" s="126" t="n">
        <x:v>0.056775822367854945</x:v>
      </x:c>
      <x:c r="K337" s="120" t="str">
        <x:v>已平仓</x:v>
      </x:c>
      <x:c r="L337" s="120" t="str">
        <x:f>IF(K337="未平仓","浮盈未实现",IF(I337&gt;='Data &amp; Targets'!$C$31,"大收益交易",IF(I337&lt;0,"亏损","普通盈利")))</x:f>
        <x:v>亏损</x:v>
      </x:c>
      <x:c r="M337" s="120" t="str">
        <x:v>EMA52-300 cross</x:v>
      </x:c>
      <x:c r="N337" s="120" t="str">
        <x:v>rearm_adx20</x:v>
      </x:c>
    </x:row>
    <x:row r="338" ht="23" customHeight="1">
      <x:c r="A338" s="120" t="str">
        <x:v>补入 ADX14 &gt;= 20</x:v>
      </x:c>
      <x:c r="B338" s="120" t="str">
        <x:v>多</x:v>
      </x:c>
      <x:c r="C338" s="124" t="n">
        <x:v>46032</x:v>
      </x:c>
      <x:c r="D338" s="124" t="n">
        <x:v>46043</x:v>
      </x:c>
      <x:c r="E338" s="125" t="n">
        <x:v>90641.27</x:v>
      </x:c>
      <x:c r="F338" s="125" t="n">
        <x:v>88427.66</x:v>
      </x:c>
      <x:c r="G338" s="120" t="n">
        <x:v>11</x:v>
      </x:c>
      <x:c r="H338" s="125" t="n">
        <x:v>-263.97235277043234</x:v>
      </x:c>
      <x:c r="I338" s="126" t="n">
        <x:f>H338/'Data &amp; Targets'!$C$34</x:f>
        <x:v>-0.026397235277043234</x:v>
      </x:c>
      <x:c r="J338" s="126" t="n">
        <x:v>0.08035213981445753</x:v>
      </x:c>
      <x:c r="K338" s="120" t="str">
        <x:v>已平仓</x:v>
      </x:c>
      <x:c r="L338" s="120" t="str">
        <x:f>IF(K338="未平仓","浮盈未实现",IF(I338&gt;='Data &amp; Targets'!$C$31,"大收益交易",IF(I338&lt;0,"亏损","普通盈利")))</x:f>
        <x:v>亏损</x:v>
      </x:c>
      <x:c r="M338" s="120" t="str">
        <x:v>EMA52-300 cross</x:v>
      </x:c>
      <x:c r="N338" s="120" t="str">
        <x:v>rearm_adx20</x:v>
      </x:c>
    </x:row>
    <x:row r="339" ht="23" customHeight="1">
      <x:c r="A339" s="120" t="str">
        <x:v>补入 ADX14 &gt;= 20</x:v>
      </x:c>
      <x:c r="B339" s="120" t="str">
        <x:v>多</x:v>
      </x:c>
      <x:c r="C339" s="124" t="n">
        <x:v>46100</x:v>
      </x:c>
      <x:c r="D339" s="124" t="n">
        <x:v>46165</x:v>
      </x:c>
      <x:c r="E339" s="125" t="n">
        <x:v>71246.55</x:v>
      </x:c>
      <x:c r="F339" s="125" t="n">
        <x:v>75539.5</x:v>
      </x:c>
      <x:c r="G339" s="120" t="n">
        <x:v>65</x:v>
      </x:c>
      <x:c r="H339" s="125" t="n">
        <x:v>581.9459258027226</x:v>
      </x:c>
      <x:c r="I339" s="126" t="n">
        <x:f>H339/'Data &amp; Targets'!$C$34</x:f>
        <x:v>0.058194592580272264</x:v>
      </x:c>
      <x:c r="J339" s="126" t="n">
        <x:v>0.1628633246101039</x:v>
      </x:c>
      <x:c r="K339" s="120" t="str">
        <x:v>已平仓</x:v>
      </x:c>
      <x:c r="L339" s="120" t="str">
        <x:f>IF(K339="未平仓","浮盈未实现",IF(I339&gt;='Data &amp; Targets'!$C$31,"大收益交易",IF(I339&lt;0,"亏损","普通盈利")))</x:f>
        <x:v>普通盈利</x:v>
      </x:c>
      <x:c r="M339" s="120" t="str">
        <x:v>EMA52-300 cross</x:v>
      </x:c>
      <x:c r="N339" s="120" t="str">
        <x:v>rearm_adx20</x:v>
      </x:c>
    </x:row>
    <x:row r="340" ht="23" customHeight="1">
      <x:c r="A340" s="120" t="str">
        <x:v>补入 ADX14 &gt;= 20</x:v>
      </x:c>
      <x:c r="B340" s="120" t="str">
        <x:v>多</x:v>
      </x:c>
      <x:c r="C340" s="124" t="n">
        <x:v>46225</x:v>
      </x:c>
      <x:c r="D340" s="124" t="n">
        <x:v>46228</x:v>
      </x:c>
      <x:c r="E340" s="125" t="n">
        <x:v>66556.15</x:v>
      </x:c>
      <x:c r="F340" s="125" t="n">
        <x:v>64140</x:v>
      </x:c>
      <x:c r="G340" s="120" t="n">
        <x:v>3</x:v>
      </x:c>
      <x:c r="H340" s="125" t="n">
        <x:v>-382.66127923565205</x:v>
      </x:c>
      <x:c r="I340" s="126" t="n">
        <x:f>H340/'Data &amp; Targets'!$C$34</x:f>
        <x:v>-0.03826612792356521</x:v>
      </x:c>
      <x:c r="J340" s="126" t="n">
        <x:v>0.002760676511486926</x:v>
      </x:c>
      <x:c r="K340" s="120" t="str">
        <x:v>已平仓</x:v>
      </x:c>
      <x:c r="L340" s="120" t="str">
        <x:f>IF(K340="未平仓","浮盈未实现",IF(I340&gt;='Data &amp; Targets'!$C$31,"大收益交易",IF(I340&lt;0,"亏损","普通盈利")))</x:f>
        <x:v>亏损</x:v>
      </x:c>
      <x:c r="M340" s="120" t="str">
        <x:v>EMA52-300 cross</x:v>
      </x:c>
      <x:c r="N340" s="120" t="str">
        <x:v>rearm_adx20</x:v>
      </x:c>
    </x:row>
    <x:row r="341" ht="23" customHeight="1">
      <x:c r="A341" s="120" t="str">
        <x:v>补入 ADX14 &gt;= 20</x:v>
      </x:c>
      <x:c r="B341" s="120" t="str">
        <x:v>多</x:v>
      </x:c>
      <x:c r="C341" s="124" t="n">
        <x:v>46229</x:v>
      </x:c>
      <x:c r="D341" s="124" t="n">
        <x:v>46231</x:v>
      </x:c>
      <x:c r="E341" s="125" t="n">
        <x:v>64375.01</x:v>
      </x:c>
      <x:c r="F341" s="125" t="n">
        <x:v>63755.86</x:v>
      </x:c>
      <x:c r="G341" s="120" t="n">
        <x:v>2</x:v>
      </x:c>
      <x:c r="H341" s="125" t="n">
        <x:v>-116.08244721049385</x:v>
      </x:c>
      <x:c r="I341" s="126" t="n">
        <x:f>H341/'Data &amp; Targets'!$C$34</x:f>
        <x:v>-0.011608244721049385</x:v>
      </x:c>
      <x:c r="J341" s="126" t="n">
        <x:v>0.021275181161136913</x:v>
      </x:c>
      <x:c r="K341" s="120" t="str">
        <x:v>已平仓</x:v>
      </x:c>
      <x:c r="L341" s="120" t="str">
        <x:f>IF(K341="未平仓","浮盈未实现",IF(I341&gt;='Data &amp; Targets'!$C$31,"大收益交易",IF(I341&lt;0,"亏损","普通盈利")))</x:f>
        <x:v>亏损</x:v>
      </x:c>
      <x:c r="M341" s="120" t="str">
        <x:v>EMA52-300 cross</x:v>
      </x:c>
      <x:c r="N341" s="120" t="str">
        <x:v>rearm_adx20</x:v>
      </x:c>
    </x:row>
    <x:row r="342" ht="23" customHeight="1">
      <x:c r="A342" s="120" t="str">
        <x:v>补入 ADX14 &gt;= 20</x:v>
      </x:c>
      <x:c r="B342" s="120" t="str">
        <x:v>多</x:v>
      </x:c>
      <x:c r="C342" s="124" t="n">
        <x:v>46234</x:v>
      </x:c>
      <x:c r="D342" s="124" t="n">
        <x:v>46235</x:v>
      </x:c>
      <x:c r="E342" s="125" t="n">
        <x:v>64780.03</x:v>
      </x:c>
      <x:c r="F342" s="125" t="n">
        <x:v>62887.88</x:v>
      </x:c>
      <x:c r="G342" s="120" t="n">
        <x:v>1</x:v>
      </x:c>
      <x:c r="H342" s="125" t="n">
        <x:v>-311.79638385471594</x:v>
      </x:c>
      <x:c r="I342" s="126" t="n">
        <x:f>H342/'Data &amp; Targets'!$C$34</x:f>
        <x:v>-0.031179638385471595</x:v>
      </x:c>
      <x:c r="J342" s="126" t="n">
        <x:v>0.009717964008352453</x:v>
      </x:c>
      <x:c r="K342" s="120" t="str">
        <x:v>已平仓</x:v>
      </x:c>
      <x:c r="L342" s="120" t="str">
        <x:f>IF(K342="未平仓","浮盈未实现",IF(I342&gt;='Data &amp; Targets'!$C$31,"大收益交易",IF(I342&lt;0,"亏损","普通盈利")))</x:f>
        <x:v>亏损</x:v>
      </x:c>
      <x:c r="M342" s="120" t="str">
        <x:v>EMA52-300 cross</x:v>
      </x:c>
      <x:c r="N342" s="120" t="str">
        <x:v>rearm_adx20</x:v>
      </x:c>
    </x:row>
    <x:row r="343" ht="23" customHeight="1">
      <x:c r="A343" s="120" t="str">
        <x:v>补入 ADX14 &gt;= 20</x:v>
      </x:c>
      <x:c r="B343" s="120" t="str">
        <x:v>多</x:v>
      </x:c>
      <x:c r="C343" s="124" t="n">
        <x:v>46239</x:v>
      </x:c>
      <x:c r="D343" s="124" t="n">
        <x:v>46241</x:v>
      </x:c>
      <x:c r="E343" s="125" t="n">
        <x:v>64106.55</x:v>
      </x:c>
      <x:c r="F343" s="125" t="n">
        <x:v>64323.61</x:v>
      </x:c>
      <x:c r="G343" s="120" t="n">
        <x:v>2</x:v>
      </x:c>
      <x:c r="H343" s="125" t="n">
        <x:v>13.8253953769151</x:v>
      </x:c>
      <x:c r="I343" s="126" t="n">
        <x:f>H343/'Data &amp; Targets'!$C$34</x:f>
        <x:v>0.00138253953769151</x:v>
      </x:c>
      <x:c r="J343" s="126" t="n">
        <x:v>0.014330360938156872</x:v>
      </x:c>
      <x:c r="K343" s="120" t="str">
        <x:v>已平仓</x:v>
      </x:c>
      <x:c r="L343" s="120" t="str">
        <x:f>IF(K343="未平仓","浮盈未实现",IF(I343&gt;='Data &amp; Targets'!$C$31,"大收益交易",IF(I343&lt;0,"亏损","普通盈利")))</x:f>
        <x:v>普通盈利</x:v>
      </x:c>
      <x:c r="M343" s="120" t="str">
        <x:v>EMA52-300 cross</x:v>
      </x:c>
      <x:c r="N343" s="120" t="str">
        <x:v>rearm_adx20</x:v>
      </x:c>
    </x:row>
    <x:row r="344" ht="23" customHeight="1">
      <x:c r="A344" s="120" t="str">
        <x:v>补入 ADX14 &gt;= 25</x:v>
      </x:c>
      <x:c r="B344" s="120" t="str">
        <x:v>多</x:v>
      </x:c>
      <x:c r="C344" s="124" t="n">
        <x:v>45372</x:v>
      </x:c>
      <x:c r="D344" s="124" t="n">
        <x:v>45396</x:v>
      </x:c>
      <x:c r="E344" s="125" t="n">
        <x:v>67840.51</x:v>
      </x:c>
      <x:c r="F344" s="125" t="n">
        <x:v>63924.52</x:v>
      </x:c>
      <x:c r="G344" s="120" t="n">
        <x:v>24</x:v>
      </x:c>
      <x:c r="H344" s="125" t="n">
        <x:v>-596.6575177574576</x:v>
      </x:c>
      <x:c r="I344" s="126" t="n">
        <x:f>H344/'Data &amp; Targets'!$C$34</x:f>
        <x:v>-0.05966575177574576</x:v>
      </x:c>
      <x:c r="J344" s="126" t="n">
        <x:v>0.07307551196180584</x:v>
      </x:c>
      <x:c r="K344" s="120" t="str">
        <x:v>已平仓</x:v>
      </x:c>
      <x:c r="L344" s="120" t="str">
        <x:f>IF(K344="未平仓","浮盈未实现",IF(I344&gt;='Data &amp; Targets'!$C$31,"大收益交易",IF(I344&lt;0,"亏损","普通盈利")))</x:f>
        <x:v>亏损</x:v>
      </x:c>
      <x:c r="M344" s="120" t="str">
        <x:v>EMA52-300 cross</x:v>
      </x:c>
      <x:c r="N344" s="120" t="str">
        <x:v>rearm_adx25</x:v>
      </x:c>
    </x:row>
    <x:row r="345" ht="23" customHeight="1">
      <x:c r="A345" s="120" t="str">
        <x:v>补入 ADX14 &gt;= 25</x:v>
      </x:c>
      <x:c r="B345" s="120" t="str">
        <x:v>多</x:v>
      </x:c>
      <x:c r="C345" s="124" t="n">
        <x:v>45497</x:v>
      </x:c>
      <x:c r="D345" s="124" t="n">
        <x:v>45507</x:v>
      </x:c>
      <x:c r="E345" s="125" t="n">
        <x:v>65936</x:v>
      </x:c>
      <x:c r="F345" s="125" t="n">
        <x:v>61498.34</x:v>
      </x:c>
      <x:c r="G345" s="120" t="n">
        <x:v>10</x:v>
      </x:c>
      <x:c r="H345" s="125" t="n">
        <x:v>-692.352332564912</x:v>
      </x:c>
      <x:c r="I345" s="126" t="n">
        <x:f>H345/'Data &amp; Targets'!$C$34</x:f>
        <x:v>-0.0692352332564912</x:v>
      </x:c>
      <x:c r="J345" s="126" t="n">
        <x:v>0.0628486714389711</x:v>
      </x:c>
      <x:c r="K345" s="120" t="str">
        <x:v>已平仓</x:v>
      </x:c>
      <x:c r="L345" s="120" t="str">
        <x:f>IF(K345="未平仓","浮盈未实现",IF(I345&gt;='Data &amp; Targets'!$C$31,"大收益交易",IF(I345&lt;0,"亏损","普通盈利")))</x:f>
        <x:v>亏损</x:v>
      </x:c>
      <x:c r="M345" s="120" t="str">
        <x:v>EMA52-300 cross</x:v>
      </x:c>
      <x:c r="N345" s="120" t="str">
        <x:v>rearm_adx25</x:v>
      </x:c>
    </x:row>
    <x:row r="346" ht="23" customHeight="1">
      <x:c r="A346" s="120" t="str">
        <x:v>补入 ADX14 &gt;= 25</x:v>
      </x:c>
      <x:c r="B346" s="120" t="str">
        <x:v>多</x:v>
      </x:c>
      <x:c r="C346" s="124" t="n">
        <x:v>45651</x:v>
      </x:c>
      <x:c r="D346" s="124" t="n">
        <x:v>45667</x:v>
      </x:c>
      <x:c r="E346" s="125" t="n">
        <x:v>98663.58</x:v>
      </x:c>
      <x:c r="F346" s="125" t="n">
        <x:v>92552.49</x:v>
      </x:c>
      <x:c r="G346" s="120" t="n">
        <x:v>16</x:v>
      </x:c>
      <x:c r="H346" s="125" t="n">
        <x:v>-638.7672198799189</x:v>
      </x:c>
      <x:c r="I346" s="126" t="n">
        <x:f>H346/'Data &amp; Targets'!$C$34</x:f>
        <x:v>-0.0638767219879919</x:v>
      </x:c>
      <x:c r="J346" s="126" t="n">
        <x:v>0.041158044336116806</x:v>
      </x:c>
      <x:c r="K346" s="120" t="str">
        <x:v>已平仓</x:v>
      </x:c>
      <x:c r="L346" s="120" t="str">
        <x:f>IF(K346="未平仓","浮盈未实现",IF(I346&gt;='Data &amp; Targets'!$C$31,"大收益交易",IF(I346&lt;0,"亏损","普通盈利")))</x:f>
        <x:v>亏损</x:v>
      </x:c>
      <x:c r="M346" s="120" t="str">
        <x:v>EMA52-300 cross</x:v>
      </x:c>
      <x:c r="N346" s="120" t="str">
        <x:v>rearm_adx25</x:v>
      </x:c>
    </x:row>
    <x:row r="347" ht="23" customHeight="1">
      <x:c r="A347" s="120" t="str">
        <x:v>补入 ADX14 &gt;= 25</x:v>
      </x:c>
      <x:c r="B347" s="120" t="str">
        <x:v>多</x:v>
      </x:c>
      <x:c r="C347" s="124" t="n">
        <x:v>45809</x:v>
      </x:c>
      <x:c r="D347" s="124" t="n">
        <x:v>45830</x:v>
      </x:c>
      <x:c r="E347" s="125" t="n">
        <x:v>104591.88</x:v>
      </x:c>
      <x:c r="F347" s="125" t="n">
        <x:v>102120.02</x:v>
      </x:c>
      <x:c r="G347" s="120" t="n">
        <x:v>21</x:v>
      </x:c>
      <x:c r="H347" s="125" t="n">
        <x:v>-256.0975001118634</x:v>
      </x:c>
      <x:c r="I347" s="126" t="n">
        <x:f>H347/'Data &amp; Targets'!$C$34</x:f>
        <x:v>-0.025609750011186337</x:v>
      </x:c>
      <x:c r="J347" s="126" t="n">
        <x:v>0.056775822367854945</x:v>
      </x:c>
      <x:c r="K347" s="120" t="str">
        <x:v>已平仓</x:v>
      </x:c>
      <x:c r="L347" s="120" t="str">
        <x:f>IF(K347="未平仓","浮盈未实现",IF(I347&gt;='Data &amp; Targets'!$C$31,"大收益交易",IF(I347&lt;0,"亏损","普通盈利")))</x:f>
        <x:v>亏损</x:v>
      </x:c>
      <x:c r="M347" s="120" t="str">
        <x:v>EMA52-300 cross</x:v>
      </x:c>
      <x:c r="N347" s="120" t="str">
        <x:v>rearm_adx25</x:v>
      </x:c>
    </x:row>
    <x:row r="348" ht="23" customHeight="1">
      <x:c r="A348" s="120" t="str">
        <x:v>补入 ADX14 &gt;= 25</x:v>
      </x:c>
      <x:c r="B348" s="120" t="str">
        <x:v>多</x:v>
      </x:c>
      <x:c r="C348" s="124" t="n">
        <x:v>46100</x:v>
      </x:c>
      <x:c r="D348" s="124" t="n">
        <x:v>46165</x:v>
      </x:c>
      <x:c r="E348" s="125" t="n">
        <x:v>71246.55</x:v>
      </x:c>
      <x:c r="F348" s="125" t="n">
        <x:v>75539.5</x:v>
      </x:c>
      <x:c r="G348" s="120" t="n">
        <x:v>65</x:v>
      </x:c>
      <x:c r="H348" s="125" t="n">
        <x:v>581.9459258027226</x:v>
      </x:c>
      <x:c r="I348" s="126" t="n">
        <x:f>H348/'Data &amp; Targets'!$C$34</x:f>
        <x:v>0.058194592580272264</x:v>
      </x:c>
      <x:c r="J348" s="126" t="n">
        <x:v>0.1628633246101039</x:v>
      </x:c>
      <x:c r="K348" s="120" t="str">
        <x:v>已平仓</x:v>
      </x:c>
      <x:c r="L348" s="120" t="str">
        <x:f>IF(K348="未平仓","浮盈未实现",IF(I348&gt;='Data &amp; Targets'!$C$31,"大收益交易",IF(I348&lt;0,"亏损","普通盈利")))</x:f>
        <x:v>普通盈利</x:v>
      </x:c>
      <x:c r="M348" s="120" t="str">
        <x:v>EMA52-300 cross</x:v>
      </x:c>
      <x:c r="N348" s="120" t="str">
        <x:v>rearm_adx25</x:v>
      </x:c>
    </x:row>
    <x:row r="349" ht="23" customHeight="1">
      <x:c r="A349" s="120" t="str">
        <x:v>补入 ER20 &gt;= 0.2</x:v>
      </x:c>
      <x:c r="B349" s="120" t="str">
        <x:v>多</x:v>
      </x:c>
      <x:c r="C349" s="124" t="n">
        <x:v>45330</x:v>
      </x:c>
      <x:c r="D349" s="124" t="n">
        <x:v>45396</x:v>
      </x:c>
      <x:c r="E349" s="125" t="n">
        <x:v>44349.6</x:v>
      </x:c>
      <x:c r="F349" s="125" t="n">
        <x:v>63924.52</x:v>
      </x:c>
      <x:c r="G349" s="120" t="n">
        <x:v>66</x:v>
      </x:c>
      <x:c r="H349" s="125" t="n">
        <x:v>4389.362221981709</x:v>
      </x:c>
      <x:c r="I349" s="126" t="n">
        <x:f>H349/'Data &amp; Targets'!$C$34</x:f>
        <x:v>0.4389362221981709</x:v>
      </x:c>
      <x:c r="J349" s="126" t="n">
        <x:v>0.6635324783087109</x:v>
      </x:c>
      <x:c r="K349" s="120" t="str">
        <x:v>已平仓</x:v>
      </x:c>
      <x:c r="L349" s="120" t="str">
        <x:f>IF(K349="未平仓","浮盈未实现",IF(I349&gt;='Data &amp; Targets'!$C$31,"大收益交易",IF(I349&lt;0,"亏损","普通盈利")))</x:f>
        <x:v>大收益交易</x:v>
      </x:c>
      <x:c r="M349" s="120" t="str">
        <x:v>EMA52-300 cross</x:v>
      </x:c>
      <x:c r="N349" s="120" t="str">
        <x:v>rearm_er0.2</x:v>
      </x:c>
    </x:row>
    <x:row r="350" ht="23" customHeight="1">
      <x:c r="A350" s="120" t="str">
        <x:v>补入 ER20 &gt;= 0.2</x:v>
      </x:c>
      <x:c r="B350" s="120" t="str">
        <x:v>多</x:v>
      </x:c>
      <x:c r="C350" s="124" t="n">
        <x:v>45434</x:v>
      </x:c>
      <x:c r="D350" s="124" t="n">
        <x:v>45458</x:v>
      </x:c>
      <x:c r="E350" s="125" t="n">
        <x:v>70148.34</x:v>
      </x:c>
      <x:c r="F350" s="125" t="n">
        <x:v>66043.99</x:v>
      </x:c>
      <x:c r="G350" s="120" t="n">
        <x:v>24</x:v>
      </x:c>
      <x:c r="H350" s="125" t="n">
        <x:v>-604.5107168608681</x:v>
      </x:c>
      <x:c r="I350" s="126" t="n">
        <x:f>H350/'Data &amp; Targets'!$C$34</x:f>
        <x:v>-0.060451071686086814</x:v>
      </x:c>
      <x:c r="J350" s="126" t="n">
        <x:v>0.026353866677386817</x:v>
      </x:c>
      <x:c r="K350" s="120" t="str">
        <x:v>已平仓</x:v>
      </x:c>
      <x:c r="L350" s="120" t="str">
        <x:f>IF(K350="未平仓","浮盈未实现",IF(I350&gt;='Data &amp; Targets'!$C$31,"大收益交易",IF(I350&lt;0,"亏损","普通盈利")))</x:f>
        <x:v>亏损</x:v>
      </x:c>
      <x:c r="M350" s="120" t="str">
        <x:v>EMA52-300 cross</x:v>
      </x:c>
      <x:c r="N350" s="120" t="str">
        <x:v>rearm_er0.2</x:v>
      </x:c>
    </x:row>
    <x:row r="351" ht="23" customHeight="1">
      <x:c r="A351" s="120" t="str">
        <x:v>补入 ER20 &gt;= 0.2</x:v>
      </x:c>
      <x:c r="B351" s="120" t="str">
        <x:v>多</x:v>
      </x:c>
      <x:c r="C351" s="124" t="n">
        <x:v>45497</x:v>
      </x:c>
      <x:c r="D351" s="124" t="n">
        <x:v>45507</x:v>
      </x:c>
      <x:c r="E351" s="125" t="n">
        <x:v>65936</x:v>
      </x:c>
      <x:c r="F351" s="125" t="n">
        <x:v>61498.34</x:v>
      </x:c>
      <x:c r="G351" s="120" t="n">
        <x:v>10</x:v>
      </x:c>
      <x:c r="H351" s="125" t="n">
        <x:v>-692.352332564912</x:v>
      </x:c>
      <x:c r="I351" s="126" t="n">
        <x:f>H351/'Data &amp; Targets'!$C$34</x:f>
        <x:v>-0.0692352332564912</x:v>
      </x:c>
      <x:c r="J351" s="126" t="n">
        <x:v>0.0628486714389711</x:v>
      </x:c>
      <x:c r="K351" s="120" t="str">
        <x:v>已平仓</x:v>
      </x:c>
      <x:c r="L351" s="120" t="str">
        <x:f>IF(K351="未平仓","浮盈未实现",IF(I351&gt;='Data &amp; Targets'!$C$31,"大收益交易",IF(I351&lt;0,"亏损","普通盈利")))</x:f>
        <x:v>亏损</x:v>
      </x:c>
      <x:c r="M351" s="120" t="str">
        <x:v>EMA52-300 cross</x:v>
      </x:c>
      <x:c r="N351" s="120" t="str">
        <x:v>rearm_er0.2</x:v>
      </x:c>
    </x:row>
    <x:row r="352" ht="23" customHeight="1">
      <x:c r="A352" s="120" t="str">
        <x:v>补入 ER20 &gt;= 0.2</x:v>
      </x:c>
      <x:c r="B352" s="120" t="str">
        <x:v>多</x:v>
      </x:c>
      <x:c r="C352" s="124" t="n">
        <x:v>45558</x:v>
      </x:c>
      <x:c r="D352" s="124" t="n">
        <x:v>45567</x:v>
      </x:c>
      <x:c r="E352" s="125" t="n">
        <x:v>63578.76</x:v>
      </x:c>
      <x:c r="F352" s="125" t="n">
        <x:v>60804.92</x:v>
      </x:c>
      <x:c r="G352" s="120" t="n">
        <x:v>9</x:v>
      </x:c>
      <x:c r="H352" s="125" t="n">
        <x:v>-455.8477831275734</x:v>
      </x:c>
      <x:c r="I352" s="126" t="n">
        <x:f>H352/'Data &amp; Targets'!$C$34</x:f>
        <x:v>-0.04558477831275734</x:v>
      </x:c>
      <x:c r="J352" s="126" t="n">
        <x:v>0.045915333988898244</x:v>
      </x:c>
      <x:c r="K352" s="120" t="str">
        <x:v>已平仓</x:v>
      </x:c>
      <x:c r="L352" s="120" t="str">
        <x:f>IF(K352="未平仓","浮盈未实现",IF(I352&gt;='Data &amp; Targets'!$C$31,"大收益交易",IF(I352&lt;0,"亏损","普通盈利")))</x:f>
        <x:v>亏损</x:v>
      </x:c>
      <x:c r="M352" s="120" t="str">
        <x:v>EMA52-300 cross</x:v>
      </x:c>
      <x:c r="N352" s="120" t="str">
        <x:v>rearm_er0.2</x:v>
      </x:c>
    </x:row>
    <x:row r="353" ht="23" customHeight="1">
      <x:c r="A353" s="120" t="str">
        <x:v>补入 ER20 &gt;= 0.2</x:v>
      </x:c>
      <x:c r="B353" s="120" t="str">
        <x:v>多</x:v>
      </x:c>
      <x:c r="C353" s="124" t="n">
        <x:v>45919</x:v>
      </x:c>
      <x:c r="D353" s="124" t="n">
        <x:v>45923</x:v>
      </x:c>
      <x:c r="E353" s="125" t="n">
        <x:v>117073.53</x:v>
      </x:c>
      <x:c r="F353" s="125" t="n">
        <x:v>112650.99</x:v>
      </x:c>
      <x:c r="G353" s="120" t="n">
        <x:v>4</x:v>
      </x:c>
      <x:c r="H353" s="125" t="n">
        <x:v>-397.37970829101965</x:v>
      </x:c>
      <x:c r="I353" s="126" t="n">
        <x:f>H353/'Data &amp; Targets'!$C$34</x:f>
        <x:v>-0.039737970829101965</x:v>
      </x:c>
      <x:c r="J353" s="126" t="n">
        <x:v>0.0033010023700490443</x:v>
      </x:c>
      <x:c r="K353" s="120" t="str">
        <x:v>已平仓</x:v>
      </x:c>
      <x:c r="L353" s="120" t="str">
        <x:f>IF(K353="未平仓","浮盈未实现",IF(I353&gt;='Data &amp; Targets'!$C$31,"大收益交易",IF(I353&lt;0,"亏损","普通盈利")))</x:f>
        <x:v>亏损</x:v>
      </x:c>
      <x:c r="M353" s="120" t="str">
        <x:v>EMA52-300 cross</x:v>
      </x:c>
      <x:c r="N353" s="120" t="str">
        <x:v>rearm_er0.2</x:v>
      </x:c>
    </x:row>
    <x:row r="354" ht="23" customHeight="1">
      <x:c r="A354" s="120" t="str">
        <x:v>补入 ER20 &gt;= 0.2</x:v>
      </x:c>
      <x:c r="B354" s="120" t="str">
        <x:v>多</x:v>
      </x:c>
      <x:c r="C354" s="124" t="n">
        <x:v>46124</x:v>
      </x:c>
      <x:c r="D354" s="124" t="n">
        <x:v>46165</x:v>
      </x:c>
      <x:c r="E354" s="125" t="n">
        <x:v>73043.16</x:v>
      </x:c>
      <x:c r="F354" s="125" t="n">
        <x:v>75539.5</x:v>
      </x:c>
      <x:c r="G354" s="120" t="n">
        <x:v>41</x:v>
      </x:c>
      <x:c r="H354" s="125" t="n">
        <x:v>321.42056011815424</x:v>
      </x:c>
      <x:c r="I354" s="126" t="n">
        <x:f>H354/'Data &amp; Targets'!$C$34</x:f>
        <x:v>0.032142056011815426</x:v>
      </x:c>
      <x:c r="J354" s="126" t="n">
        <x:v>0.13426089451770706</x:v>
      </x:c>
      <x:c r="K354" s="120" t="str">
        <x:v>已平仓</x:v>
      </x:c>
      <x:c r="L354" s="120" t="str">
        <x:f>IF(K354="未平仓","浮盈未实现",IF(I354&gt;='Data &amp; Targets'!$C$31,"大收益交易",IF(I354&lt;0,"亏损","普通盈利")))</x:f>
        <x:v>普通盈利</x:v>
      </x:c>
      <x:c r="M354" s="120" t="str">
        <x:v>EMA52-300 cross</x:v>
      </x:c>
      <x:c r="N354" s="120" t="str">
        <x:v>rearm_er0.2</x:v>
      </x:c>
    </x:row>
    <x:row r="355" ht="23" customHeight="1">
      <x:c r="A355" s="120" t="str">
        <x:v>补入 ER20 &gt;= 0.2</x:v>
      </x:c>
      <x:c r="B355" s="120" t="str">
        <x:v>多</x:v>
      </x:c>
      <x:c r="C355" s="124" t="n">
        <x:v>46225</x:v>
      </x:c>
      <x:c r="D355" s="124" t="n">
        <x:v>46228</x:v>
      </x:c>
      <x:c r="E355" s="125" t="n">
        <x:v>66556.15</x:v>
      </x:c>
      <x:c r="F355" s="125" t="n">
        <x:v>64140</x:v>
      </x:c>
      <x:c r="G355" s="120" t="n">
        <x:v>3</x:v>
      </x:c>
      <x:c r="H355" s="125" t="n">
        <x:v>-382.66127923565205</x:v>
      </x:c>
      <x:c r="I355" s="126" t="n">
        <x:f>H355/'Data &amp; Targets'!$C$34</x:f>
        <x:v>-0.03826612792356521</x:v>
      </x:c>
      <x:c r="J355" s="126" t="n">
        <x:v>0.002760676511486926</x:v>
      </x:c>
      <x:c r="K355" s="120" t="str">
        <x:v>已平仓</x:v>
      </x:c>
      <x:c r="L355" s="120" t="str">
        <x:f>IF(K355="未平仓","浮盈未实现",IF(I355&gt;='Data &amp; Targets'!$C$31,"大收益交易",IF(I355&lt;0,"亏损","普通盈利")))</x:f>
        <x:v>亏损</x:v>
      </x:c>
      <x:c r="M355" s="120" t="str">
        <x:v>EMA52-300 cross</x:v>
      </x:c>
      <x:c r="N355" s="120" t="str">
        <x:v>rearm_er0.2</x:v>
      </x:c>
    </x:row>
    <x:row r="356" ht="23" customHeight="1">
      <x:c r="A356" s="120" t="str">
        <x:v>补入 ER20 &gt;= 0.3</x:v>
      </x:c>
      <x:c r="B356" s="120" t="str">
        <x:v>多</x:v>
      </x:c>
      <x:c r="C356" s="124" t="n">
        <x:v>45332</x:v>
      </x:c>
      <x:c r="D356" s="124" t="n">
        <x:v>45396</x:v>
      </x:c>
      <x:c r="E356" s="125" t="n">
        <x:v>47132.78</x:v>
      </x:c>
      <x:c r="F356" s="125" t="n">
        <x:v>63924.52</x:v>
      </x:c>
      <x:c r="G356" s="120" t="n">
        <x:v>64</x:v>
      </x:c>
      <x:c r="H356" s="125" t="n">
        <x:v>3539.0831391655656</x:v>
      </x:c>
      <x:c r="I356" s="126" t="n">
        <x:f>H356/'Data &amp; Targets'!$C$34</x:f>
        <x:v>0.3539083139165566</x:v>
      </x:c>
      <x:c r="J356" s="126" t="n">
        <x:v>0.5653012616696915</x:v>
      </x:c>
      <x:c r="K356" s="120" t="str">
        <x:v>已平仓</x:v>
      </x:c>
      <x:c r="L356" s="120" t="str">
        <x:f>IF(K356="未平仓","浮盈未实现",IF(I356&gt;='Data &amp; Targets'!$C$31,"大收益交易",IF(I356&lt;0,"亏损","普通盈利")))</x:f>
        <x:v>大收益交易</x:v>
      </x:c>
      <x:c r="M356" s="120" t="str">
        <x:v>EMA52-300 cross</x:v>
      </x:c>
      <x:c r="N356" s="120" t="str">
        <x:v>rearm_er0.3</x:v>
      </x:c>
    </x:row>
    <x:row r="357" ht="23" customHeight="1">
      <x:c r="A357" s="120" t="str">
        <x:v>补入 ER20 &gt;= 0.3</x:v>
      </x:c>
      <x:c r="B357" s="120" t="str">
        <x:v>多</x:v>
      </x:c>
      <x:c r="C357" s="124" t="n">
        <x:v>45434</x:v>
      </x:c>
      <x:c r="D357" s="124" t="n">
        <x:v>45458</x:v>
      </x:c>
      <x:c r="E357" s="125" t="n">
        <x:v>70148.34</x:v>
      </x:c>
      <x:c r="F357" s="125" t="n">
        <x:v>66043.99</x:v>
      </x:c>
      <x:c r="G357" s="120" t="n">
        <x:v>24</x:v>
      </x:c>
      <x:c r="H357" s="125" t="n">
        <x:v>-604.5107168608681</x:v>
      </x:c>
      <x:c r="I357" s="126" t="n">
        <x:f>H357/'Data &amp; Targets'!$C$34</x:f>
        <x:v>-0.060451071686086814</x:v>
      </x:c>
      <x:c r="J357" s="126" t="n">
        <x:v>0.026353866677386817</x:v>
      </x:c>
      <x:c r="K357" s="120" t="str">
        <x:v>已平仓</x:v>
      </x:c>
      <x:c r="L357" s="120" t="str">
        <x:f>IF(K357="未平仓","浮盈未实现",IF(I357&gt;='Data &amp; Targets'!$C$31,"大收益交易",IF(I357&lt;0,"亏损","普通盈利")))</x:f>
        <x:v>亏损</x:v>
      </x:c>
      <x:c r="M357" s="120" t="str">
        <x:v>EMA52-300 cross</x:v>
      </x:c>
      <x:c r="N357" s="120" t="str">
        <x:v>rearm_er0.3</x:v>
      </x:c>
    </x:row>
    <x:row r="358" ht="23" customHeight="1">
      <x:c r="A358" s="120" t="str">
        <x:v>补入 ER20 &gt;= 0.3</x:v>
      </x:c>
      <x:c r="B358" s="120" t="str">
        <x:v>多</x:v>
      </x:c>
      <x:c r="C358" s="124" t="n">
        <x:v>45506</x:v>
      </x:c>
      <x:c r="D358" s="124" t="n">
        <x:v>45507</x:v>
      </x:c>
      <x:c r="E358" s="125" t="n">
        <x:v>65354.02</x:v>
      </x:c>
      <x:c r="F358" s="125" t="n">
        <x:v>61498.34</x:v>
      </x:c>
      <x:c r="G358" s="120" t="n">
        <x:v>1</x:v>
      </x:c>
      <x:c r="H358" s="125" t="n">
        <x:v>-609.378330514328</x:v>
      </x:c>
      <x:c r="I358" s="126" t="n">
        <x:f>H358/'Data &amp; Targets'!$C$34</x:f>
        <x:v>-0.0609378330514328</x:v>
      </x:c>
      <x:c r="J358" s="126" t="n">
        <x:v>0.00370474532400622</x:v>
      </x:c>
      <x:c r="K358" s="120" t="str">
        <x:v>已平仓</x:v>
      </x:c>
      <x:c r="L358" s="120" t="str">
        <x:f>IF(K358="未平仓","浮盈未实现",IF(I358&gt;='Data &amp; Targets'!$C$31,"大收益交易",IF(I358&lt;0,"亏损","普通盈利")))</x:f>
        <x:v>亏损</x:v>
      </x:c>
      <x:c r="M358" s="120" t="str">
        <x:v>EMA52-300 cross</x:v>
      </x:c>
      <x:c r="N358" s="120" t="str">
        <x:v>rearm_er0.3</x:v>
      </x:c>
    </x:row>
    <x:row r="359" ht="23" customHeight="1">
      <x:c r="A359" s="120" t="str">
        <x:v>补入 ER20 &gt;= 0.3</x:v>
      </x:c>
      <x:c r="B359" s="120" t="str">
        <x:v>多</x:v>
      </x:c>
      <x:c r="C359" s="124" t="n">
        <x:v>45919</x:v>
      </x:c>
      <x:c r="D359" s="124" t="n">
        <x:v>45923</x:v>
      </x:c>
      <x:c r="E359" s="125" t="n">
        <x:v>117073.53</x:v>
      </x:c>
      <x:c r="F359" s="125" t="n">
        <x:v>112650.99</x:v>
      </x:c>
      <x:c r="G359" s="120" t="n">
        <x:v>4</x:v>
      </x:c>
      <x:c r="H359" s="125" t="n">
        <x:v>-397.37970829101965</x:v>
      </x:c>
      <x:c r="I359" s="126" t="n">
        <x:f>H359/'Data &amp; Targets'!$C$34</x:f>
        <x:v>-0.039737970829101965</x:v>
      </x:c>
      <x:c r="J359" s="126" t="n">
        <x:v>0.0033010023700490443</x:v>
      </x:c>
      <x:c r="K359" s="120" t="str">
        <x:v>已平仓</x:v>
      </x:c>
      <x:c r="L359" s="120" t="str">
        <x:f>IF(K359="未平仓","浮盈未实现",IF(I359&gt;='Data &amp; Targets'!$C$31,"大收益交易",IF(I359&lt;0,"亏损","普通盈利")))</x:f>
        <x:v>亏损</x:v>
      </x:c>
      <x:c r="M359" s="120" t="str">
        <x:v>EMA52-300 cross</x:v>
      </x:c>
      <x:c r="N359" s="120" t="str">
        <x:v>rearm_er0.3</x:v>
      </x:c>
    </x:row>
    <x:row r="360" ht="23" customHeight="1">
      <x:c r="A360" s="120" t="str">
        <x:v>补入 ER20 &gt;= 0.3</x:v>
      </x:c>
      <x:c r="B360" s="120" t="str">
        <x:v>多</x:v>
      </x:c>
      <x:c r="C360" s="124" t="n">
        <x:v>46225</x:v>
      </x:c>
      <x:c r="D360" s="124" t="n">
        <x:v>46228</x:v>
      </x:c>
      <x:c r="E360" s="125" t="n">
        <x:v>66556.15</x:v>
      </x:c>
      <x:c r="F360" s="125" t="n">
        <x:v>64140</x:v>
      </x:c>
      <x:c r="G360" s="120" t="n">
        <x:v>3</x:v>
      </x:c>
      <x:c r="H360" s="125" t="n">
        <x:v>-382.66127923565205</x:v>
      </x:c>
      <x:c r="I360" s="126" t="n">
        <x:f>H360/'Data &amp; Targets'!$C$34</x:f>
        <x:v>-0.03826612792356521</x:v>
      </x:c>
      <x:c r="J360" s="126" t="n">
        <x:v>0.002760676511486926</x:v>
      </x:c>
      <x:c r="K360" s="120" t="str">
        <x:v>已平仓</x:v>
      </x:c>
      <x:c r="L360" s="120" t="str">
        <x:f>IF(K360="未平仓","浮盈未实现",IF(I360&gt;='Data &amp; Targets'!$C$31,"大收益交易",IF(I360&lt;0,"亏损","普通盈利")))</x:f>
        <x:v>亏损</x:v>
      </x:c>
      <x:c r="M360" s="120" t="str">
        <x:v>EMA52-300 cross</x:v>
      </x:c>
      <x:c r="N360" s="120" t="str">
        <x:v>rearm_er0.3</x:v>
      </x:c>
    </x:row>
    <x:row r="361" ht="23" customHeight="1">
      <x:c r="A361" s="120" t="str">
        <x:v>补入 EMA52五日升幅/ATR14 &gt;= 0.1</x:v>
      </x:c>
      <x:c r="B361" s="120" t="str">
        <x:v>多</x:v>
      </x:c>
      <x:c r="C361" s="124" t="n">
        <x:v>45330</x:v>
      </x:c>
      <x:c r="D361" s="124" t="n">
        <x:v>45396</x:v>
      </x:c>
      <x:c r="E361" s="125" t="n">
        <x:v>44349.6</x:v>
      </x:c>
      <x:c r="F361" s="125" t="n">
        <x:v>63924.52</x:v>
      </x:c>
      <x:c r="G361" s="120" t="n">
        <x:v>66</x:v>
      </x:c>
      <x:c r="H361" s="125" t="n">
        <x:v>4389.362221981709</x:v>
      </x:c>
      <x:c r="I361" s="126" t="n">
        <x:f>H361/'Data &amp; Targets'!$C$34</x:f>
        <x:v>0.4389362221981709</x:v>
      </x:c>
      <x:c r="J361" s="126" t="n">
        <x:v>0.6635324783087109</x:v>
      </x:c>
      <x:c r="K361" s="120" t="str">
        <x:v>已平仓</x:v>
      </x:c>
      <x:c r="L361" s="120" t="str">
        <x:f>IF(K361="未平仓","浮盈未实现",IF(I361&gt;='Data &amp; Targets'!$C$31,"大收益交易",IF(I361&lt;0,"亏损","普通盈利")))</x:f>
        <x:v>大收益交易</x:v>
      </x:c>
      <x:c r="M361" s="120" t="str">
        <x:v>EMA52-300 cross</x:v>
      </x:c>
      <x:c r="N361" s="120" t="str">
        <x:v>rearm_slope0.1</x:v>
      </x:c>
    </x:row>
    <x:row r="362" ht="23" customHeight="1">
      <x:c r="A362" s="120" t="str">
        <x:v>补入 EMA52五日升幅/ATR14 &gt;= 0.1</x:v>
      </x:c>
      <x:c r="B362" s="120" t="str">
        <x:v>多</x:v>
      </x:c>
      <x:c r="C362" s="124" t="n">
        <x:v>45434</x:v>
      </x:c>
      <x:c r="D362" s="124" t="n">
        <x:v>45458</x:v>
      </x:c>
      <x:c r="E362" s="125" t="n">
        <x:v>70148.34</x:v>
      </x:c>
      <x:c r="F362" s="125" t="n">
        <x:v>66043.99</x:v>
      </x:c>
      <x:c r="G362" s="120" t="n">
        <x:v>24</x:v>
      </x:c>
      <x:c r="H362" s="125" t="n">
        <x:v>-604.5107168608681</x:v>
      </x:c>
      <x:c r="I362" s="126" t="n">
        <x:f>H362/'Data &amp; Targets'!$C$34</x:f>
        <x:v>-0.060451071686086814</x:v>
      </x:c>
      <x:c r="J362" s="126" t="n">
        <x:v>0.026353866677386817</x:v>
      </x:c>
      <x:c r="K362" s="120" t="str">
        <x:v>已平仓</x:v>
      </x:c>
      <x:c r="L362" s="120" t="str">
        <x:f>IF(K362="未平仓","浮盈未实现",IF(I362&gt;='Data &amp; Targets'!$C$31,"大收益交易",IF(I362&lt;0,"亏损","普通盈利")))</x:f>
        <x:v>亏损</x:v>
      </x:c>
      <x:c r="M362" s="120" t="str">
        <x:v>EMA52-300 cross</x:v>
      </x:c>
      <x:c r="N362" s="120" t="str">
        <x:v>rearm_slope0.1</x:v>
      </x:c>
    </x:row>
    <x:row r="363" ht="23" customHeight="1">
      <x:c r="A363" s="120" t="str">
        <x:v>补入 EMA52五日升幅/ATR14 &gt;= 0.1</x:v>
      </x:c>
      <x:c r="B363" s="120" t="str">
        <x:v>多</x:v>
      </x:c>
      <x:c r="C363" s="124" t="n">
        <x:v>45497</x:v>
      </x:c>
      <x:c r="D363" s="124" t="n">
        <x:v>45507</x:v>
      </x:c>
      <x:c r="E363" s="125" t="n">
        <x:v>65936</x:v>
      </x:c>
      <x:c r="F363" s="125" t="n">
        <x:v>61498.34</x:v>
      </x:c>
      <x:c r="G363" s="120" t="n">
        <x:v>10</x:v>
      </x:c>
      <x:c r="H363" s="125" t="n">
        <x:v>-692.352332564912</x:v>
      </x:c>
      <x:c r="I363" s="126" t="n">
        <x:f>H363/'Data &amp; Targets'!$C$34</x:f>
        <x:v>-0.0692352332564912</x:v>
      </x:c>
      <x:c r="J363" s="126" t="n">
        <x:v>0.0628486714389711</x:v>
      </x:c>
      <x:c r="K363" s="120" t="str">
        <x:v>已平仓</x:v>
      </x:c>
      <x:c r="L363" s="120" t="str">
        <x:f>IF(K363="未平仓","浮盈未实现",IF(I363&gt;='Data &amp; Targets'!$C$31,"大收益交易",IF(I363&lt;0,"亏损","普通盈利")))</x:f>
        <x:v>亏损</x:v>
      </x:c>
      <x:c r="M363" s="120" t="str">
        <x:v>EMA52-300 cross</x:v>
      </x:c>
      <x:c r="N363" s="120" t="str">
        <x:v>rearm_slope0.1</x:v>
      </x:c>
    </x:row>
    <x:row r="364" ht="23" customHeight="1">
      <x:c r="A364" s="120" t="str">
        <x:v>补入 EMA52五日升幅/ATR14 &gt;= 0.1</x:v>
      </x:c>
      <x:c r="B364" s="120" t="str">
        <x:v>多</x:v>
      </x:c>
      <x:c r="C364" s="124" t="n">
        <x:v>45558</x:v>
      </x:c>
      <x:c r="D364" s="124" t="n">
        <x:v>45567</x:v>
      </x:c>
      <x:c r="E364" s="125" t="n">
        <x:v>63578.76</x:v>
      </x:c>
      <x:c r="F364" s="125" t="n">
        <x:v>60804.92</x:v>
      </x:c>
      <x:c r="G364" s="120" t="n">
        <x:v>9</x:v>
      </x:c>
      <x:c r="H364" s="125" t="n">
        <x:v>-455.8477831275734</x:v>
      </x:c>
      <x:c r="I364" s="126" t="n">
        <x:f>H364/'Data &amp; Targets'!$C$34</x:f>
        <x:v>-0.04558477831275734</x:v>
      </x:c>
      <x:c r="J364" s="126" t="n">
        <x:v>0.045915333988898244</x:v>
      </x:c>
      <x:c r="K364" s="120" t="str">
        <x:v>已平仓</x:v>
      </x:c>
      <x:c r="L364" s="120" t="str">
        <x:f>IF(K364="未平仓","浮盈未实现",IF(I364&gt;='Data &amp; Targets'!$C$31,"大收益交易",IF(I364&lt;0,"亏损","普通盈利")))</x:f>
        <x:v>亏损</x:v>
      </x:c>
      <x:c r="M364" s="120" t="str">
        <x:v>EMA52-300 cross</x:v>
      </x:c>
      <x:c r="N364" s="120" t="str">
        <x:v>rearm_slope0.1</x:v>
      </x:c>
    </x:row>
    <x:row r="365" ht="23" customHeight="1">
      <x:c r="A365" s="120" t="str">
        <x:v>补入 EMA52五日升幅/ATR14 &gt;= 0.1</x:v>
      </x:c>
      <x:c r="B365" s="120" t="str">
        <x:v>多</x:v>
      </x:c>
      <x:c r="C365" s="124" t="n">
        <x:v>45651</x:v>
      </x:c>
      <x:c r="D365" s="124" t="n">
        <x:v>45667</x:v>
      </x:c>
      <x:c r="E365" s="125" t="n">
        <x:v>98663.58</x:v>
      </x:c>
      <x:c r="F365" s="125" t="n">
        <x:v>92552.49</x:v>
      </x:c>
      <x:c r="G365" s="120" t="n">
        <x:v>16</x:v>
      </x:c>
      <x:c r="H365" s="125" t="n">
        <x:v>-638.7672198799189</x:v>
      </x:c>
      <x:c r="I365" s="126" t="n">
        <x:f>H365/'Data &amp; Targets'!$C$34</x:f>
        <x:v>-0.0638767219879919</x:v>
      </x:c>
      <x:c r="J365" s="126" t="n">
        <x:v>0.041158044336116806</x:v>
      </x:c>
      <x:c r="K365" s="120" t="str">
        <x:v>已平仓</x:v>
      </x:c>
      <x:c r="L365" s="120" t="str">
        <x:f>IF(K365="未平仓","浮盈未实现",IF(I365&gt;='Data &amp; Targets'!$C$31,"大收益交易",IF(I365&lt;0,"亏损","普通盈利")))</x:f>
        <x:v>亏损</x:v>
      </x:c>
      <x:c r="M365" s="120" t="str">
        <x:v>EMA52-300 cross</x:v>
      </x:c>
      <x:c r="N365" s="120" t="str">
        <x:v>rearm_slope0.1</x:v>
      </x:c>
    </x:row>
    <x:row r="366" ht="23" customHeight="1">
      <x:c r="A366" s="120" t="str">
        <x:v>补入 EMA52五日升幅/ATR14 &gt;= 0.1</x:v>
      </x:c>
      <x:c r="B366" s="120" t="str">
        <x:v>多</x:v>
      </x:c>
      <x:c r="C366" s="124" t="n">
        <x:v>45692</x:v>
      </x:c>
      <x:c r="D366" s="124" t="n">
        <x:v>45693</x:v>
      </x:c>
      <x:c r="E366" s="125" t="n">
        <x:v>101328.51</x:v>
      </x:c>
      <x:c r="F366" s="125" t="n">
        <x:v>97763.14</x:v>
      </x:c>
      <x:c r="G366" s="120" t="n">
        <x:v>1</x:v>
      </x:c>
      <x:c r="H366" s="125" t="n">
        <x:v>-371.5106094030195</x:v>
      </x:c>
      <x:c r="I366" s="126" t="n">
        <x:f>H366/'Data &amp; Targets'!$C$34</x:f>
        <x:v>-0.03715106094030195</x:v>
      </x:c>
      <x:c r="J366" s="126" t="n">
        <x:v>0.0039850581045748346</x:v>
      </x:c>
      <x:c r="K366" s="120" t="str">
        <x:v>已平仓</x:v>
      </x:c>
      <x:c r="L366" s="120" t="str">
        <x:f>IF(K366="未平仓","浮盈未实现",IF(I366&gt;='Data &amp; Targets'!$C$31,"大收益交易",IF(I366&lt;0,"亏损","普通盈利")))</x:f>
        <x:v>亏损</x:v>
      </x:c>
      <x:c r="M366" s="120" t="str">
        <x:v>EMA52-300 cross</x:v>
      </x:c>
      <x:c r="N366" s="120" t="str">
        <x:v>rearm_slope0.1</x:v>
      </x:c>
    </x:row>
    <x:row r="367" ht="23" customHeight="1">
      <x:c r="A367" s="120" t="str">
        <x:v>补入 EMA52五日升幅/ATR14 &gt;= 0.1</x:v>
      </x:c>
      <x:c r="B367" s="120" t="str">
        <x:v>多</x:v>
      </x:c>
      <x:c r="C367" s="124" t="n">
        <x:v>45809</x:v>
      </x:c>
      <x:c r="D367" s="124" t="n">
        <x:v>45830</x:v>
      </x:c>
      <x:c r="E367" s="125" t="n">
        <x:v>104591.88</x:v>
      </x:c>
      <x:c r="F367" s="125" t="n">
        <x:v>102120.02</x:v>
      </x:c>
      <x:c r="G367" s="120" t="n">
        <x:v>21</x:v>
      </x:c>
      <x:c r="H367" s="125" t="n">
        <x:v>-256.0975001118634</x:v>
      </x:c>
      <x:c r="I367" s="126" t="n">
        <x:f>H367/'Data &amp; Targets'!$C$34</x:f>
        <x:v>-0.025609750011186337</x:v>
      </x:c>
      <x:c r="J367" s="126" t="n">
        <x:v>0.056775822367854945</x:v>
      </x:c>
      <x:c r="K367" s="120" t="str">
        <x:v>已平仓</x:v>
      </x:c>
      <x:c r="L367" s="120" t="str">
        <x:f>IF(K367="未平仓","浮盈未实现",IF(I367&gt;='Data &amp; Targets'!$C$31,"大收益交易",IF(I367&lt;0,"亏损","普通盈利")))</x:f>
        <x:v>亏损</x:v>
      </x:c>
      <x:c r="M367" s="120" t="str">
        <x:v>EMA52-300 cross</x:v>
      </x:c>
      <x:c r="N367" s="120" t="str">
        <x:v>rearm_slope0.1</x:v>
      </x:c>
    </x:row>
    <x:row r="368" ht="23" customHeight="1">
      <x:c r="A368" s="120" t="str">
        <x:v>补入 EMA52五日升幅/ATR14 &gt;= 0.1</x:v>
      </x:c>
      <x:c r="B368" s="120" t="str">
        <x:v>多</x:v>
      </x:c>
      <x:c r="C368" s="124" t="n">
        <x:v>45841</x:v>
      </x:c>
      <x:c r="D368" s="124" t="n">
        <x:v>45889</x:v>
      </x:c>
      <x:c r="E368" s="125" t="n">
        <x:v>108849.59</x:v>
      </x:c>
      <x:c r="F368" s="125" t="n">
        <x:v>112872.95</x:v>
      </x:c>
      <x:c r="G368" s="120" t="n">
        <x:v>48</x:v>
      </x:c>
      <x:c r="H368" s="125" t="n">
        <x:v>349.2560201650737</x:v>
      </x:c>
      <x:c r="I368" s="126" t="n">
        <x:f>H368/'Data &amp; Targets'!$C$34</x:f>
        <x:v>0.03492560201650737</x:v>
      </x:c>
      <x:c r="J368" s="126" t="n">
        <x:v>0.14354128481329154</x:v>
      </x:c>
      <x:c r="K368" s="120" t="str">
        <x:v>已平仓</x:v>
      </x:c>
      <x:c r="L368" s="120" t="str">
        <x:f>IF(K368="未平仓","浮盈未实现",IF(I368&gt;='Data &amp; Targets'!$C$31,"大收益交易",IF(I368&lt;0,"亏损","普通盈利")))</x:f>
        <x:v>普通盈利</x:v>
      </x:c>
      <x:c r="M368" s="120" t="str">
        <x:v>EMA52-300 cross</x:v>
      </x:c>
      <x:c r="N368" s="120" t="str">
        <x:v>rearm_slope0.1</x:v>
      </x:c>
    </x:row>
    <x:row r="369" ht="23" customHeight="1">
      <x:c r="A369" s="120" t="str">
        <x:v>补入 EMA52五日升幅/ATR14 &gt;= 0.1</x:v>
      </x:c>
      <x:c r="B369" s="120" t="str">
        <x:v>多</x:v>
      </x:c>
      <x:c r="C369" s="124" t="n">
        <x:v>45919</x:v>
      </x:c>
      <x:c r="D369" s="124" t="n">
        <x:v>45923</x:v>
      </x:c>
      <x:c r="E369" s="125" t="n">
        <x:v>117073.53</x:v>
      </x:c>
      <x:c r="F369" s="125" t="n">
        <x:v>112650.99</x:v>
      </x:c>
      <x:c r="G369" s="120" t="n">
        <x:v>4</x:v>
      </x:c>
      <x:c r="H369" s="125" t="n">
        <x:v>-397.37970829101965</x:v>
      </x:c>
      <x:c r="I369" s="126" t="n">
        <x:f>H369/'Data &amp; Targets'!$C$34</x:f>
        <x:v>-0.039737970829101965</x:v>
      </x:c>
      <x:c r="J369" s="126" t="n">
        <x:v>0.0033010023700490443</x:v>
      </x:c>
      <x:c r="K369" s="120" t="str">
        <x:v>已平仓</x:v>
      </x:c>
      <x:c r="L369" s="120" t="str">
        <x:f>IF(K369="未平仓","浮盈未实现",IF(I369&gt;='Data &amp; Targets'!$C$31,"大收益交易",IF(I369&lt;0,"亏损","普通盈利")))</x:f>
        <x:v>亏损</x:v>
      </x:c>
      <x:c r="M369" s="120" t="str">
        <x:v>EMA52-300 cross</x:v>
      </x:c>
      <x:c r="N369" s="120" t="str">
        <x:v>rearm_slope0.1</x:v>
      </x:c>
    </x:row>
    <x:row r="370" ht="23" customHeight="1">
      <x:c r="A370" s="120" t="str">
        <x:v>补入 EMA52五日升幅/ATR14 &gt;= 0.1</x:v>
      </x:c>
      <x:c r="B370" s="120" t="str">
        <x:v>多</x:v>
      </x:c>
      <x:c r="C370" s="124" t="n">
        <x:v>46124</x:v>
      </x:c>
      <x:c r="D370" s="124" t="n">
        <x:v>46165</x:v>
      </x:c>
      <x:c r="E370" s="125" t="n">
        <x:v>73043.16</x:v>
      </x:c>
      <x:c r="F370" s="125" t="n">
        <x:v>75539.5</x:v>
      </x:c>
      <x:c r="G370" s="120" t="n">
        <x:v>41</x:v>
      </x:c>
      <x:c r="H370" s="125" t="n">
        <x:v>321.42056011815424</x:v>
      </x:c>
      <x:c r="I370" s="126" t="n">
        <x:f>H370/'Data &amp; Targets'!$C$34</x:f>
        <x:v>0.032142056011815426</x:v>
      </x:c>
      <x:c r="J370" s="126" t="n">
        <x:v>0.13426089451770706</x:v>
      </x:c>
      <x:c r="K370" s="120" t="str">
        <x:v>已平仓</x:v>
      </x:c>
      <x:c r="L370" s="120" t="str">
        <x:f>IF(K370="未平仓","浮盈未实现",IF(I370&gt;='Data &amp; Targets'!$C$31,"大收益交易",IF(I370&lt;0,"亏损","普通盈利")))</x:f>
        <x:v>普通盈利</x:v>
      </x:c>
      <x:c r="M370" s="120" t="str">
        <x:v>EMA52-300 cross</x:v>
      </x:c>
      <x:c r="N370" s="120" t="str">
        <x:v>rearm_slope0.1</x:v>
      </x:c>
    </x:row>
    <x:row r="371" ht="23" customHeight="1">
      <x:c r="A371" s="120" t="str">
        <x:v>补入 EMA52五日升幅/ATR14 &gt;= 0.2</x:v>
      </x:c>
      <x:c r="B371" s="120" t="str">
        <x:v>多</x:v>
      </x:c>
      <x:c r="C371" s="124" t="n">
        <x:v>45332</x:v>
      </x:c>
      <x:c r="D371" s="124" t="n">
        <x:v>45396</x:v>
      </x:c>
      <x:c r="E371" s="125" t="n">
        <x:v>47132.78</x:v>
      </x:c>
      <x:c r="F371" s="125" t="n">
        <x:v>63924.52</x:v>
      </x:c>
      <x:c r="G371" s="120" t="n">
        <x:v>64</x:v>
      </x:c>
      <x:c r="H371" s="125" t="n">
        <x:v>3539.0831391655656</x:v>
      </x:c>
      <x:c r="I371" s="126" t="n">
        <x:f>H371/'Data &amp; Targets'!$C$34</x:f>
        <x:v>0.3539083139165566</x:v>
      </x:c>
      <x:c r="J371" s="126" t="n">
        <x:v>0.5653012616696915</x:v>
      </x:c>
      <x:c r="K371" s="120" t="str">
        <x:v>已平仓</x:v>
      </x:c>
      <x:c r="L371" s="120" t="str">
        <x:f>IF(K371="未平仓","浮盈未实现",IF(I371&gt;='Data &amp; Targets'!$C$31,"大收益交易",IF(I371&lt;0,"亏损","普通盈利")))</x:f>
        <x:v>大收益交易</x:v>
      </x:c>
      <x:c r="M371" s="120" t="str">
        <x:v>EMA52-300 cross</x:v>
      </x:c>
      <x:c r="N371" s="120" t="str">
        <x:v>rearm_slope0.2</x:v>
      </x:c>
    </x:row>
    <x:row r="372" ht="23" customHeight="1">
      <x:c r="A372" s="120" t="str">
        <x:v>补入 EMA52五日升幅/ATR14 &gt;= 0.2</x:v>
      </x:c>
      <x:c r="B372" s="120" t="str">
        <x:v>多</x:v>
      </x:c>
      <x:c r="C372" s="124" t="n">
        <x:v>45434</x:v>
      </x:c>
      <x:c r="D372" s="124" t="n">
        <x:v>45458</x:v>
      </x:c>
      <x:c r="E372" s="125" t="n">
        <x:v>70148.34</x:v>
      </x:c>
      <x:c r="F372" s="125" t="n">
        <x:v>66043.99</x:v>
      </x:c>
      <x:c r="G372" s="120" t="n">
        <x:v>24</x:v>
      </x:c>
      <x:c r="H372" s="125" t="n">
        <x:v>-604.5107168608681</x:v>
      </x:c>
      <x:c r="I372" s="126" t="n">
        <x:f>H372/'Data &amp; Targets'!$C$34</x:f>
        <x:v>-0.060451071686086814</x:v>
      </x:c>
      <x:c r="J372" s="126" t="n">
        <x:v>0.026353866677386817</x:v>
      </x:c>
      <x:c r="K372" s="120" t="str">
        <x:v>已平仓</x:v>
      </x:c>
      <x:c r="L372" s="120" t="str">
        <x:f>IF(K372="未平仓","浮盈未实现",IF(I372&gt;='Data &amp; Targets'!$C$31,"大收益交易",IF(I372&lt;0,"亏损","普通盈利")))</x:f>
        <x:v>亏损</x:v>
      </x:c>
      <x:c r="M372" s="120" t="str">
        <x:v>EMA52-300 cross</x:v>
      </x:c>
      <x:c r="N372" s="120" t="str">
        <x:v>rearm_slope0.2</x:v>
      </x:c>
    </x:row>
    <x:row r="373" ht="23" customHeight="1">
      <x:c r="A373" s="120" t="str">
        <x:v>补入 EMA52五日升幅/ATR14 &gt;= 0.2</x:v>
      </x:c>
      <x:c r="B373" s="120" t="str">
        <x:v>多</x:v>
      </x:c>
      <x:c r="C373" s="124" t="n">
        <x:v>45497</x:v>
      </x:c>
      <x:c r="D373" s="124" t="n">
        <x:v>45507</x:v>
      </x:c>
      <x:c r="E373" s="125" t="n">
        <x:v>65936</x:v>
      </x:c>
      <x:c r="F373" s="125" t="n">
        <x:v>61498.34</x:v>
      </x:c>
      <x:c r="G373" s="120" t="n">
        <x:v>10</x:v>
      </x:c>
      <x:c r="H373" s="125" t="n">
        <x:v>-692.352332564912</x:v>
      </x:c>
      <x:c r="I373" s="126" t="n">
        <x:f>H373/'Data &amp; Targets'!$C$34</x:f>
        <x:v>-0.0692352332564912</x:v>
      </x:c>
      <x:c r="J373" s="126" t="n">
        <x:v>0.0628486714389711</x:v>
      </x:c>
      <x:c r="K373" s="120" t="str">
        <x:v>已平仓</x:v>
      </x:c>
      <x:c r="L373" s="120" t="str">
        <x:f>IF(K373="未平仓","浮盈未实现",IF(I373&gt;='Data &amp; Targets'!$C$31,"大收益交易",IF(I373&lt;0,"亏损","普通盈利")))</x:f>
        <x:v>亏损</x:v>
      </x:c>
      <x:c r="M373" s="120" t="str">
        <x:v>EMA52-300 cross</x:v>
      </x:c>
      <x:c r="N373" s="120" t="str">
        <x:v>rearm_slope0.2</x:v>
      </x:c>
    </x:row>
    <x:row r="374" ht="23" customHeight="1">
      <x:c r="A374" s="120" t="str">
        <x:v>补入 EMA52五日升幅/ATR14 &gt;= 0.2</x:v>
      </x:c>
      <x:c r="B374" s="120" t="str">
        <x:v>多</x:v>
      </x:c>
      <x:c r="C374" s="124" t="n">
        <x:v>45558</x:v>
      </x:c>
      <x:c r="D374" s="124" t="n">
        <x:v>45567</x:v>
      </x:c>
      <x:c r="E374" s="125" t="n">
        <x:v>63578.76</x:v>
      </x:c>
      <x:c r="F374" s="125" t="n">
        <x:v>60804.92</x:v>
      </x:c>
      <x:c r="G374" s="120" t="n">
        <x:v>9</x:v>
      </x:c>
      <x:c r="H374" s="125" t="n">
        <x:v>-455.8477831275734</x:v>
      </x:c>
      <x:c r="I374" s="126" t="n">
        <x:f>H374/'Data &amp; Targets'!$C$34</x:f>
        <x:v>-0.04558477831275734</x:v>
      </x:c>
      <x:c r="J374" s="126" t="n">
        <x:v>0.045915333988898244</x:v>
      </x:c>
      <x:c r="K374" s="120" t="str">
        <x:v>已平仓</x:v>
      </x:c>
      <x:c r="L374" s="120" t="str">
        <x:f>IF(K374="未平仓","浮盈未实现",IF(I374&gt;='Data &amp; Targets'!$C$31,"大收益交易",IF(I374&lt;0,"亏损","普通盈利")))</x:f>
        <x:v>亏损</x:v>
      </x:c>
      <x:c r="M374" s="120" t="str">
        <x:v>EMA52-300 cross</x:v>
      </x:c>
      <x:c r="N374" s="120" t="str">
        <x:v>rearm_slope0.2</x:v>
      </x:c>
    </x:row>
    <x:row r="375" ht="23" customHeight="1">
      <x:c r="A375" s="120" t="str">
        <x:v>补入 EMA52五日升幅/ATR14 &gt;= 0.2</x:v>
      </x:c>
      <x:c r="B375" s="120" t="str">
        <x:v>多</x:v>
      </x:c>
      <x:c r="C375" s="124" t="n">
        <x:v>45651</x:v>
      </x:c>
      <x:c r="D375" s="124" t="n">
        <x:v>45667</x:v>
      </x:c>
      <x:c r="E375" s="125" t="n">
        <x:v>98663.58</x:v>
      </x:c>
      <x:c r="F375" s="125" t="n">
        <x:v>92552.49</x:v>
      </x:c>
      <x:c r="G375" s="120" t="n">
        <x:v>16</x:v>
      </x:c>
      <x:c r="H375" s="125" t="n">
        <x:v>-638.7672198799189</x:v>
      </x:c>
      <x:c r="I375" s="126" t="n">
        <x:f>H375/'Data &amp; Targets'!$C$34</x:f>
        <x:v>-0.0638767219879919</x:v>
      </x:c>
      <x:c r="J375" s="126" t="n">
        <x:v>0.041158044336116806</x:v>
      </x:c>
      <x:c r="K375" s="120" t="str">
        <x:v>已平仓</x:v>
      </x:c>
      <x:c r="L375" s="120" t="str">
        <x:f>IF(K375="未平仓","浮盈未实现",IF(I375&gt;='Data &amp; Targets'!$C$31,"大收益交易",IF(I375&lt;0,"亏损","普通盈利")))</x:f>
        <x:v>亏损</x:v>
      </x:c>
      <x:c r="M375" s="120" t="str">
        <x:v>EMA52-300 cross</x:v>
      </x:c>
      <x:c r="N375" s="120" t="str">
        <x:v>rearm_slope0.2</x:v>
      </x:c>
    </x:row>
    <x:row r="376" ht="23" customHeight="1">
      <x:c r="A376" s="120" t="str">
        <x:v>补入 EMA52五日升幅/ATR14 &gt;= 0.2</x:v>
      </x:c>
      <x:c r="B376" s="120" t="str">
        <x:v>多</x:v>
      </x:c>
      <x:c r="C376" s="124" t="n">
        <x:v>45809</x:v>
      </x:c>
      <x:c r="D376" s="124" t="n">
        <x:v>45830</x:v>
      </x:c>
      <x:c r="E376" s="125" t="n">
        <x:v>104591.88</x:v>
      </x:c>
      <x:c r="F376" s="125" t="n">
        <x:v>102120.02</x:v>
      </x:c>
      <x:c r="G376" s="120" t="n">
        <x:v>21</x:v>
      </x:c>
      <x:c r="H376" s="125" t="n">
        <x:v>-256.0975001118634</x:v>
      </x:c>
      <x:c r="I376" s="126" t="n">
        <x:f>H376/'Data &amp; Targets'!$C$34</x:f>
        <x:v>-0.025609750011186337</x:v>
      </x:c>
      <x:c r="J376" s="126" t="n">
        <x:v>0.056775822367854945</x:v>
      </x:c>
      <x:c r="K376" s="120" t="str">
        <x:v>已平仓</x:v>
      </x:c>
      <x:c r="L376" s="120" t="str">
        <x:f>IF(K376="未平仓","浮盈未实现",IF(I376&gt;='Data &amp; Targets'!$C$31,"大收益交易",IF(I376&lt;0,"亏损","普通盈利")))</x:f>
        <x:v>亏损</x:v>
      </x:c>
      <x:c r="M376" s="120" t="str">
        <x:v>EMA52-300 cross</x:v>
      </x:c>
      <x:c r="N376" s="120" t="str">
        <x:v>rearm_slope0.2</x:v>
      </x:c>
    </x:row>
    <x:row r="377" ht="23" customHeight="1">
      <x:c r="A377" s="120" t="str">
        <x:v>补入 EMA52五日升幅/ATR14 &gt;= 0.2</x:v>
      </x:c>
      <x:c r="B377" s="120" t="str">
        <x:v>多</x:v>
      </x:c>
      <x:c r="C377" s="124" t="n">
        <x:v>45841</x:v>
      </x:c>
      <x:c r="D377" s="124" t="n">
        <x:v>45889</x:v>
      </x:c>
      <x:c r="E377" s="125" t="n">
        <x:v>108849.59</x:v>
      </x:c>
      <x:c r="F377" s="125" t="n">
        <x:v>112872.95</x:v>
      </x:c>
      <x:c r="G377" s="120" t="n">
        <x:v>48</x:v>
      </x:c>
      <x:c r="H377" s="125" t="n">
        <x:v>349.2560201650737</x:v>
      </x:c>
      <x:c r="I377" s="126" t="n">
        <x:f>H377/'Data &amp; Targets'!$C$34</x:f>
        <x:v>0.03492560201650737</x:v>
      </x:c>
      <x:c r="J377" s="126" t="n">
        <x:v>0.14354128481329154</x:v>
      </x:c>
      <x:c r="K377" s="120" t="str">
        <x:v>已平仓</x:v>
      </x:c>
      <x:c r="L377" s="120" t="str">
        <x:f>IF(K377="未平仓","浮盈未实现",IF(I377&gt;='Data &amp; Targets'!$C$31,"大收益交易",IF(I377&lt;0,"亏损","普通盈利")))</x:f>
        <x:v>普通盈利</x:v>
      </x:c>
      <x:c r="M377" s="120" t="str">
        <x:v>EMA52-300 cross</x:v>
      </x:c>
      <x:c r="N377" s="120" t="str">
        <x:v>rearm_slope0.2</x:v>
      </x:c>
    </x:row>
    <x:row r="378" ht="23" customHeight="1">
      <x:c r="A378" s="120" t="str">
        <x:v>补入 EMA52五日升幅/ATR14 &gt;= 0.2</x:v>
      </x:c>
      <x:c r="B378" s="120" t="str">
        <x:v>多</x:v>
      </x:c>
      <x:c r="C378" s="124" t="n">
        <x:v>45919</x:v>
      </x:c>
      <x:c r="D378" s="124" t="n">
        <x:v>45923</x:v>
      </x:c>
      <x:c r="E378" s="125" t="n">
        <x:v>117073.53</x:v>
      </x:c>
      <x:c r="F378" s="125" t="n">
        <x:v>112650.99</x:v>
      </x:c>
      <x:c r="G378" s="120" t="n">
        <x:v>4</x:v>
      </x:c>
      <x:c r="H378" s="125" t="n">
        <x:v>-397.37970829101965</x:v>
      </x:c>
      <x:c r="I378" s="126" t="n">
        <x:f>H378/'Data &amp; Targets'!$C$34</x:f>
        <x:v>-0.039737970829101965</x:v>
      </x:c>
      <x:c r="J378" s="126" t="n">
        <x:v>0.0033010023700490443</x:v>
      </x:c>
      <x:c r="K378" s="120" t="str">
        <x:v>已平仓</x:v>
      </x:c>
      <x:c r="L378" s="120" t="str">
        <x:f>IF(K378="未平仓","浮盈未实现",IF(I378&gt;='Data &amp; Targets'!$C$31,"大收益交易",IF(I378&lt;0,"亏损","普通盈利")))</x:f>
        <x:v>亏损</x:v>
      </x:c>
      <x:c r="M378" s="120" t="str">
        <x:v>EMA52-300 cross</x:v>
      </x:c>
      <x:c r="N378" s="120" t="str">
        <x:v>rearm_slope0.2</x:v>
      </x:c>
    </x:row>
    <x:row r="379" ht="23" customHeight="1">
      <x:c r="A379" s="120" t="str">
        <x:v>补入 (EMA25-EMA52)/ATR14 &gt;= 0.25</x:v>
      </x:c>
      <x:c r="B379" s="120" t="str">
        <x:v>多</x:v>
      </x:c>
      <x:c r="C379" s="124" t="n">
        <x:v>45330</x:v>
      </x:c>
      <x:c r="D379" s="124" t="n">
        <x:v>45396</x:v>
      </x:c>
      <x:c r="E379" s="125" t="n">
        <x:v>44349.6</x:v>
      </x:c>
      <x:c r="F379" s="125" t="n">
        <x:v>63924.52</x:v>
      </x:c>
      <x:c r="G379" s="120" t="n">
        <x:v>66</x:v>
      </x:c>
      <x:c r="H379" s="125" t="n">
        <x:v>4389.362221981709</x:v>
      </x:c>
      <x:c r="I379" s="126" t="n">
        <x:f>H379/'Data &amp; Targets'!$C$34</x:f>
        <x:v>0.4389362221981709</x:v>
      </x:c>
      <x:c r="J379" s="126" t="n">
        <x:v>0.6635324783087109</x:v>
      </x:c>
      <x:c r="K379" s="120" t="str">
        <x:v>已平仓</x:v>
      </x:c>
      <x:c r="L379" s="120" t="str">
        <x:f>IF(K379="未平仓","浮盈未实现",IF(I379&gt;='Data &amp; Targets'!$C$31,"大收益交易",IF(I379&lt;0,"亏损","普通盈利")))</x:f>
        <x:v>大收益交易</x:v>
      </x:c>
      <x:c r="M379" s="120" t="str">
        <x:v>EMA52-300 cross</x:v>
      </x:c>
      <x:c r="N379" s="120" t="str">
        <x:v>rearm_gap0.25</x:v>
      </x:c>
    </x:row>
    <x:row r="380" ht="23" customHeight="1">
      <x:c r="A380" s="120" t="str">
        <x:v>补入 (EMA25-EMA52)/ATR14 &gt;= 0.25</x:v>
      </x:c>
      <x:c r="B380" s="120" t="str">
        <x:v>多</x:v>
      </x:c>
      <x:c r="C380" s="124" t="n">
        <x:v>45405</x:v>
      </x:c>
      <x:c r="D380" s="124" t="n">
        <x:v>45409</x:v>
      </x:c>
      <x:c r="E380" s="125" t="n">
        <x:v>66819.32</x:v>
      </x:c>
      <x:c r="F380" s="125" t="n">
        <x:v>63770</x:v>
      </x:c>
      <x:c r="G380" s="120" t="n">
        <x:v>4</x:v>
      </x:c>
      <x:c r="H380" s="125" t="n">
        <x:v>-475.896689759789</x:v>
      </x:c>
      <x:c r="I380" s="126" t="n">
        <x:f>H380/'Data &amp; Targets'!$C$34</x:f>
        <x:v>-0.047589668975978903</x:v>
      </x:c>
      <x:c r="J380" s="126" t="n">
        <x:v>0.005442886877627506</x:v>
      </x:c>
      <x:c r="K380" s="120" t="str">
        <x:v>已平仓</x:v>
      </x:c>
      <x:c r="L380" s="120" t="str">
        <x:f>IF(K380="未平仓","浮盈未实现",IF(I380&gt;='Data &amp; Targets'!$C$31,"大收益交易",IF(I380&lt;0,"亏损","普通盈利")))</x:f>
        <x:v>亏损</x:v>
      </x:c>
      <x:c r="M380" s="120" t="str">
        <x:v>EMA52-300 cross</x:v>
      </x:c>
      <x:c r="N380" s="120" t="str">
        <x:v>rearm_gap0.25</x:v>
      </x:c>
    </x:row>
    <x:row r="381" ht="23" customHeight="1">
      <x:c r="A381" s="120" t="str">
        <x:v>补入 (EMA25-EMA52)/ATR14 &gt;= 0.25</x:v>
      </x:c>
      <x:c r="B381" s="120" t="str">
        <x:v>多</x:v>
      </x:c>
      <x:c r="C381" s="124" t="n">
        <x:v>45434</x:v>
      </x:c>
      <x:c r="D381" s="124" t="n">
        <x:v>45458</x:v>
      </x:c>
      <x:c r="E381" s="125" t="n">
        <x:v>70148.34</x:v>
      </x:c>
      <x:c r="F381" s="125" t="n">
        <x:v>66043.99</x:v>
      </x:c>
      <x:c r="G381" s="120" t="n">
        <x:v>24</x:v>
      </x:c>
      <x:c r="H381" s="125" t="n">
        <x:v>-604.5107168608681</x:v>
      </x:c>
      <x:c r="I381" s="126" t="n">
        <x:f>H381/'Data &amp; Targets'!$C$34</x:f>
        <x:v>-0.060451071686086814</x:v>
      </x:c>
      <x:c r="J381" s="126" t="n">
        <x:v>0.026353866677386817</x:v>
      </x:c>
      <x:c r="K381" s="120" t="str">
        <x:v>已平仓</x:v>
      </x:c>
      <x:c r="L381" s="120" t="str">
        <x:f>IF(K381="未平仓","浮盈未实现",IF(I381&gt;='Data &amp; Targets'!$C$31,"大收益交易",IF(I381&lt;0,"亏损","普通盈利")))</x:f>
        <x:v>亏损</x:v>
      </x:c>
      <x:c r="M381" s="120" t="str">
        <x:v>EMA52-300 cross</x:v>
      </x:c>
      <x:c r="N381" s="120" t="str">
        <x:v>rearm_gap0.25</x:v>
      </x:c>
    </x:row>
    <x:row r="382" ht="23" customHeight="1">
      <x:c r="A382" s="120" t="str">
        <x:v>补入 (EMA25-EMA52)/ATR14 &gt;= 0.25</x:v>
      </x:c>
      <x:c r="B382" s="120" t="str">
        <x:v>多</x:v>
      </x:c>
      <x:c r="C382" s="124" t="n">
        <x:v>45570</x:v>
      </x:c>
      <x:c r="D382" s="124" t="n">
        <x:v>45575</x:v>
      </x:c>
      <x:c r="E382" s="125" t="n">
        <x:v>62086</x:v>
      </x:c>
      <x:c r="F382" s="125" t="n">
        <x:v>60636.01</x:v>
      </x:c>
      <x:c r="G382" s="120" t="n">
        <x:v>5</x:v>
      </x:c>
      <x:c r="H382" s="125" t="n">
        <x:v>-253.3118593563763</x:v>
      </x:c>
      <x:c r="I382" s="126" t="n">
        <x:f>H382/'Data &amp; Targets'!$C$34</x:f>
        <x:v>-0.02533118593563763</x:v>
      </x:c>
      <x:c r="J382" s="126" t="n">
        <x:v>0.0385302644718617</x:v>
      </x:c>
      <x:c r="K382" s="120" t="str">
        <x:v>已平仓</x:v>
      </x:c>
      <x:c r="L382" s="120" t="str">
        <x:f>IF(K382="未平仓","浮盈未实现",IF(I382&gt;='Data &amp; Targets'!$C$31,"大收益交易",IF(I382&lt;0,"亏损","普通盈利")))</x:f>
        <x:v>亏损</x:v>
      </x:c>
      <x:c r="M382" s="120" t="str">
        <x:v>EMA52-300 cross</x:v>
      </x:c>
      <x:c r="N382" s="120" t="str">
        <x:v>rearm_gap0.25</x:v>
      </x:c>
    </x:row>
    <x:row r="383" ht="23" customHeight="1">
      <x:c r="A383" s="120" t="str">
        <x:v>补入 (EMA25-EMA52)/ATR14 &gt;= 0.25</x:v>
      </x:c>
      <x:c r="B383" s="120" t="str">
        <x:v>多</x:v>
      </x:c>
      <x:c r="C383" s="124" t="n">
        <x:v>45651</x:v>
      </x:c>
      <x:c r="D383" s="124" t="n">
        <x:v>45667</x:v>
      </x:c>
      <x:c r="E383" s="125" t="n">
        <x:v>98663.58</x:v>
      </x:c>
      <x:c r="F383" s="125" t="n">
        <x:v>92552.49</x:v>
      </x:c>
      <x:c r="G383" s="120" t="n">
        <x:v>16</x:v>
      </x:c>
      <x:c r="H383" s="125" t="n">
        <x:v>-638.7672198799189</x:v>
      </x:c>
      <x:c r="I383" s="126" t="n">
        <x:f>H383/'Data &amp; Targets'!$C$34</x:f>
        <x:v>-0.0638767219879919</x:v>
      </x:c>
      <x:c r="J383" s="126" t="n">
        <x:v>0.041158044336116806</x:v>
      </x:c>
      <x:c r="K383" s="120" t="str">
        <x:v>已平仓</x:v>
      </x:c>
      <x:c r="L383" s="120" t="str">
        <x:f>IF(K383="未平仓","浮盈未实现",IF(I383&gt;='Data &amp; Targets'!$C$31,"大收益交易",IF(I383&lt;0,"亏损","普通盈利")))</x:f>
        <x:v>亏损</x:v>
      </x:c>
      <x:c r="M383" s="120" t="str">
        <x:v>EMA52-300 cross</x:v>
      </x:c>
      <x:c r="N383" s="120" t="str">
        <x:v>rearm_gap0.25</x:v>
      </x:c>
    </x:row>
    <x:row r="384" ht="23" customHeight="1">
      <x:c r="A384" s="120" t="str">
        <x:v>补入 (EMA25-EMA52)/ATR14 &gt;= 0.25</x:v>
      </x:c>
      <x:c r="B384" s="120" t="str">
        <x:v>多</x:v>
      </x:c>
      <x:c r="C384" s="124" t="n">
        <x:v>45672</x:v>
      </x:c>
      <x:c r="D384" s="124" t="n">
        <x:v>45691</x:v>
      </x:c>
      <x:c r="E384" s="125" t="n">
        <x:v>96560.85</x:v>
      </x:c>
      <x:c r="F384" s="125" t="n">
        <x:v>97700.59</x:v>
      </x:c>
      <x:c r="G384" s="120" t="n">
        <x:v>19</x:v>
      </x:c>
      <x:c r="H384" s="125" t="n">
        <x:v>97.91531039753592</x:v>
      </x:c>
      <x:c r="I384" s="126" t="n">
        <x:f>H384/'Data &amp; Targets'!$C$34</x:f>
        <x:v>0.009791531039753592</x:v>
      </x:c>
      <x:c r="J384" s="126" t="n">
        <x:v>0.13491130204425494</x:v>
      </x:c>
      <x:c r="K384" s="120" t="str">
        <x:v>已平仓</x:v>
      </x:c>
      <x:c r="L384" s="120" t="str">
        <x:f>IF(K384="未平仓","浮盈未实现",IF(I384&gt;='Data &amp; Targets'!$C$31,"大收益交易",IF(I384&lt;0,"亏损","普通盈利")))</x:f>
        <x:v>普通盈利</x:v>
      </x:c>
      <x:c r="M384" s="120" t="str">
        <x:v>EMA52-300 cross</x:v>
      </x:c>
      <x:c r="N384" s="120" t="str">
        <x:v>rearm_gap0.25</x:v>
      </x:c>
    </x:row>
    <x:row r="385" ht="23" customHeight="1">
      <x:c r="A385" s="120" t="str">
        <x:v>补入 (EMA25-EMA52)/ATR14 &gt;= 0.25</x:v>
      </x:c>
      <x:c r="B385" s="120" t="str">
        <x:v>多</x:v>
      </x:c>
      <x:c r="C385" s="124" t="n">
        <x:v>45692</x:v>
      </x:c>
      <x:c r="D385" s="124" t="n">
        <x:v>45693</x:v>
      </x:c>
      <x:c r="E385" s="125" t="n">
        <x:v>101328.51</x:v>
      </x:c>
      <x:c r="F385" s="125" t="n">
        <x:v>97763.14</x:v>
      </x:c>
      <x:c r="G385" s="120" t="n">
        <x:v>1</x:v>
      </x:c>
      <x:c r="H385" s="125" t="n">
        <x:v>-371.5106094030195</x:v>
      </x:c>
      <x:c r="I385" s="126" t="n">
        <x:f>H385/'Data &amp; Targets'!$C$34</x:f>
        <x:v>-0.03715106094030195</x:v>
      </x:c>
      <x:c r="J385" s="126" t="n">
        <x:v>0.0039850581045748346</x:v>
      </x:c>
      <x:c r="K385" s="120" t="str">
        <x:v>已平仓</x:v>
      </x:c>
      <x:c r="L385" s="120" t="str">
        <x:f>IF(K385="未平仓","浮盈未实现",IF(I385&gt;='Data &amp; Targets'!$C$31,"大收益交易",IF(I385&lt;0,"亏损","普通盈利")))</x:f>
        <x:v>亏损</x:v>
      </x:c>
      <x:c r="M385" s="120" t="str">
        <x:v>EMA52-300 cross</x:v>
      </x:c>
      <x:c r="N385" s="120" t="str">
        <x:v>rearm_gap0.25</x:v>
      </x:c>
    </x:row>
    <x:row r="386" ht="23" customHeight="1">
      <x:c r="A386" s="120" t="str">
        <x:v>补入 (EMA25-EMA52)/ATR14 &gt;= 0.25</x:v>
      </x:c>
      <x:c r="B386" s="120" t="str">
        <x:v>多</x:v>
      </x:c>
      <x:c r="C386" s="124" t="n">
        <x:v>45809</x:v>
      </x:c>
      <x:c r="D386" s="124" t="n">
        <x:v>45830</x:v>
      </x:c>
      <x:c r="E386" s="125" t="n">
        <x:v>104591.88</x:v>
      </x:c>
      <x:c r="F386" s="125" t="n">
        <x:v>102120.02</x:v>
      </x:c>
      <x:c r="G386" s="120" t="n">
        <x:v>21</x:v>
      </x:c>
      <x:c r="H386" s="125" t="n">
        <x:v>-256.0975001118634</x:v>
      </x:c>
      <x:c r="I386" s="126" t="n">
        <x:f>H386/'Data &amp; Targets'!$C$34</x:f>
        <x:v>-0.025609750011186337</x:v>
      </x:c>
      <x:c r="J386" s="126" t="n">
        <x:v>0.056775822367854945</x:v>
      </x:c>
      <x:c r="K386" s="120" t="str">
        <x:v>已平仓</x:v>
      </x:c>
      <x:c r="L386" s="120" t="str">
        <x:f>IF(K386="未平仓","浮盈未实现",IF(I386&gt;='Data &amp; Targets'!$C$31,"大收益交易",IF(I386&lt;0,"亏损","普通盈利")))</x:f>
        <x:v>亏损</x:v>
      </x:c>
      <x:c r="M386" s="120" t="str">
        <x:v>EMA52-300 cross</x:v>
      </x:c>
      <x:c r="N386" s="120" t="str">
        <x:v>rearm_gap0.25</x:v>
      </x:c>
    </x:row>
    <x:row r="387" ht="23" customHeight="1">
      <x:c r="A387" s="120" t="str">
        <x:v>补入 (EMA25-EMA52)/ATR14 &gt;= 0.25</x:v>
      </x:c>
      <x:c r="B387" s="120" t="str">
        <x:v>多</x:v>
      </x:c>
      <x:c r="C387" s="124" t="n">
        <x:v>45832</x:v>
      </x:c>
      <x:c r="D387" s="124" t="n">
        <x:v>45889</x:v>
      </x:c>
      <x:c r="E387" s="125" t="n">
        <x:v>105333.94</x:v>
      </x:c>
      <x:c r="F387" s="125" t="n">
        <x:v>112872.95</x:v>
      </x:c>
      <x:c r="G387" s="120" t="n">
        <x:v>57</x:v>
      </x:c>
      <x:c r="H387" s="125" t="n">
        <x:v>695.0089505813601</x:v>
      </x:c>
      <x:c r="I387" s="126" t="n">
        <x:f>H387/'Data &amp; Targets'!$C$34</x:f>
        <x:v>0.069500895058136</x:v>
      </x:c>
      <x:c r="J387" s="126" t="n">
        <x:v>0.18170838383146015</x:v>
      </x:c>
      <x:c r="K387" s="120" t="str">
        <x:v>已平仓</x:v>
      </x:c>
      <x:c r="L387" s="120" t="str">
        <x:f>IF(K387="未平仓","浮盈未实现",IF(I387&gt;='Data &amp; Targets'!$C$31,"大收益交易",IF(I387&lt;0,"亏损","普通盈利")))</x:f>
        <x:v>普通盈利</x:v>
      </x:c>
      <x:c r="M387" s="120" t="str">
        <x:v>EMA52-300 cross</x:v>
      </x:c>
      <x:c r="N387" s="120" t="str">
        <x:v>rearm_gap0.25</x:v>
      </x:c>
    </x:row>
    <x:row r="388" ht="23" customHeight="1">
      <x:c r="A388" s="120" t="str">
        <x:v>补入 (EMA25-EMA52)/ATR14 &gt;= 0.25</x:v>
      </x:c>
      <x:c r="B388" s="120" t="str">
        <x:v>多</x:v>
      </x:c>
      <x:c r="C388" s="124" t="n">
        <x:v>45892</x:v>
      </x:c>
      <x:c r="D388" s="124" t="n">
        <x:v>45894</x:v>
      </x:c>
      <x:c r="E388" s="125" t="n">
        <x:v>116936</x:v>
      </x:c>
      <x:c r="F388" s="125" t="n">
        <x:v>113493.59</x:v>
      </x:c>
      <x:c r="G388" s="120" t="n">
        <x:v>2</x:v>
      </x:c>
      <x:c r="H388" s="125" t="n">
        <x:v>-314.08972343846233</x:v>
      </x:c>
      <x:c r="I388" s="126" t="n">
        <x:f>H388/'Data &amp; Targets'!$C$34</x:f>
        <x:v>-0.03140897234384623</x:v>
      </x:c>
      <x:c r="J388" s="126" t="n">
        <x:v>0.000803858520900258</x:v>
      </x:c>
      <x:c r="K388" s="120" t="str">
        <x:v>已平仓</x:v>
      </x:c>
      <x:c r="L388" s="120" t="str">
        <x:f>IF(K388="未平仓","浮盈未实现",IF(I388&gt;='Data &amp; Targets'!$C$31,"大收益交易",IF(I388&lt;0,"亏损","普通盈利")))</x:f>
        <x:v>亏损</x:v>
      </x:c>
      <x:c r="M388" s="120" t="str">
        <x:v>EMA52-300 cross</x:v>
      </x:c>
      <x:c r="N388" s="120" t="str">
        <x:v>rearm_gap0.25</x:v>
      </x:c>
    </x:row>
    <x:row r="389" ht="23" customHeight="1">
      <x:c r="A389" s="120" t="str">
        <x:v>补入 (EMA25-EMA52)/ATR14 &gt;= 0.5</x:v>
      </x:c>
      <x:c r="B389" s="120" t="str">
        <x:v>多</x:v>
      </x:c>
      <x:c r="C389" s="124" t="n">
        <x:v>45372</x:v>
      </x:c>
      <x:c r="D389" s="124" t="n">
        <x:v>45396</x:v>
      </x:c>
      <x:c r="E389" s="125" t="n">
        <x:v>67840.51</x:v>
      </x:c>
      <x:c r="F389" s="125" t="n">
        <x:v>63924.52</x:v>
      </x:c>
      <x:c r="G389" s="120" t="n">
        <x:v>24</x:v>
      </x:c>
      <x:c r="H389" s="125" t="n">
        <x:v>-596.6575177574576</x:v>
      </x:c>
      <x:c r="I389" s="126" t="n">
        <x:f>H389/'Data &amp; Targets'!$C$34</x:f>
        <x:v>-0.05966575177574576</x:v>
      </x:c>
      <x:c r="J389" s="126" t="n">
        <x:v>0.07307551196180584</x:v>
      </x:c>
      <x:c r="K389" s="120" t="str">
        <x:v>已平仓</x:v>
      </x:c>
      <x:c r="L389" s="120" t="str">
        <x:f>IF(K389="未平仓","浮盈未实现",IF(I389&gt;='Data &amp; Targets'!$C$31,"大收益交易",IF(I389&lt;0,"亏损","普通盈利")))</x:f>
        <x:v>亏损</x:v>
      </x:c>
      <x:c r="M389" s="120" t="str">
        <x:v>EMA52-300 cross</x:v>
      </x:c>
      <x:c r="N389" s="120" t="str">
        <x:v>rearm_gap0.5</x:v>
      </x:c>
    </x:row>
    <x:row r="390" ht="23" customHeight="1">
      <x:c r="A390" s="120" t="str">
        <x:v>补入 (EMA25-EMA52)/ATR14 &gt;= 0.5</x:v>
      </x:c>
      <x:c r="B390" s="120" t="str">
        <x:v>多</x:v>
      </x:c>
      <x:c r="C390" s="124" t="n">
        <x:v>45651</x:v>
      </x:c>
      <x:c r="D390" s="124" t="n">
        <x:v>45667</x:v>
      </x:c>
      <x:c r="E390" s="125" t="n">
        <x:v>98663.58</x:v>
      </x:c>
      <x:c r="F390" s="125" t="n">
        <x:v>92552.49</x:v>
      </x:c>
      <x:c r="G390" s="120" t="n">
        <x:v>16</x:v>
      </x:c>
      <x:c r="H390" s="125" t="n">
        <x:v>-638.7672198799189</x:v>
      </x:c>
      <x:c r="I390" s="126" t="n">
        <x:f>H390/'Data &amp; Targets'!$C$34</x:f>
        <x:v>-0.0638767219879919</x:v>
      </x:c>
      <x:c r="J390" s="126" t="n">
        <x:v>0.041158044336116806</x:v>
      </x:c>
      <x:c r="K390" s="120" t="str">
        <x:v>已平仓</x:v>
      </x:c>
      <x:c r="L390" s="120" t="str">
        <x:f>IF(K390="未平仓","浮盈未实现",IF(I390&gt;='Data &amp; Targets'!$C$31,"大收益交易",IF(I390&lt;0,"亏损","普通盈利")))</x:f>
        <x:v>亏损</x:v>
      </x:c>
      <x:c r="M390" s="120" t="str">
        <x:v>EMA52-300 cross</x:v>
      </x:c>
      <x:c r="N390" s="120" t="str">
        <x:v>rearm_gap0.5</x:v>
      </x:c>
    </x:row>
    <x:row r="391" ht="23" customHeight="1">
      <x:c r="A391" s="120" t="str">
        <x:v>补入 (EMA25-EMA52)/ATR14 &gt;= 0.5</x:v>
      </x:c>
      <x:c r="B391" s="120" t="str">
        <x:v>多</x:v>
      </x:c>
      <x:c r="C391" s="124" t="n">
        <x:v>45672</x:v>
      </x:c>
      <x:c r="D391" s="124" t="n">
        <x:v>45691</x:v>
      </x:c>
      <x:c r="E391" s="125" t="n">
        <x:v>96560.85</x:v>
      </x:c>
      <x:c r="F391" s="125" t="n">
        <x:v>97700.59</x:v>
      </x:c>
      <x:c r="G391" s="120" t="n">
        <x:v>19</x:v>
      </x:c>
      <x:c r="H391" s="125" t="n">
        <x:v>97.91531039753592</x:v>
      </x:c>
      <x:c r="I391" s="126" t="n">
        <x:f>H391/'Data &amp; Targets'!$C$34</x:f>
        <x:v>0.009791531039753592</x:v>
      </x:c>
      <x:c r="J391" s="126" t="n">
        <x:v>0.13491130204425494</x:v>
      </x:c>
      <x:c r="K391" s="120" t="str">
        <x:v>已平仓</x:v>
      </x:c>
      <x:c r="L391" s="120" t="str">
        <x:f>IF(K391="未平仓","浮盈未实现",IF(I391&gt;='Data &amp; Targets'!$C$31,"大收益交易",IF(I391&lt;0,"亏损","普通盈利")))</x:f>
        <x:v>普通盈利</x:v>
      </x:c>
      <x:c r="M391" s="120" t="str">
        <x:v>EMA52-300 cross</x:v>
      </x:c>
      <x:c r="N391" s="120" t="str">
        <x:v>rearm_gap0.5</x:v>
      </x:c>
    </x:row>
    <x:row r="392" ht="23" customHeight="1">
      <x:c r="A392" s="120" t="str">
        <x:v>补入 (EMA25-EMA52)/ATR14 &gt;= 0.5</x:v>
      </x:c>
      <x:c r="B392" s="120" t="str">
        <x:v>多</x:v>
      </x:c>
      <x:c r="C392" s="124" t="n">
        <x:v>45692</x:v>
      </x:c>
      <x:c r="D392" s="124" t="n">
        <x:v>45693</x:v>
      </x:c>
      <x:c r="E392" s="125" t="n">
        <x:v>101328.51</x:v>
      </x:c>
      <x:c r="F392" s="125" t="n">
        <x:v>97763.14</x:v>
      </x:c>
      <x:c r="G392" s="120" t="n">
        <x:v>1</x:v>
      </x:c>
      <x:c r="H392" s="125" t="n">
        <x:v>-371.5106094030195</x:v>
      </x:c>
      <x:c r="I392" s="126" t="n">
        <x:f>H392/'Data &amp; Targets'!$C$34</x:f>
        <x:v>-0.03715106094030195</x:v>
      </x:c>
      <x:c r="J392" s="126" t="n">
        <x:v>0.0039850581045748346</x:v>
      </x:c>
      <x:c r="K392" s="120" t="str">
        <x:v>已平仓</x:v>
      </x:c>
      <x:c r="L392" s="120" t="str">
        <x:f>IF(K392="未平仓","浮盈未实现",IF(I392&gt;='Data &amp; Targets'!$C$31,"大收益交易",IF(I392&lt;0,"亏损","普通盈利")))</x:f>
        <x:v>亏损</x:v>
      </x:c>
      <x:c r="M392" s="120" t="str">
        <x:v>EMA52-300 cross</x:v>
      </x:c>
      <x:c r="N392" s="120" t="str">
        <x:v>rearm_gap0.5</x:v>
      </x:c>
    </x:row>
    <x:row r="393" ht="23" customHeight="1">
      <x:c r="A393" s="120" t="str">
        <x:v>补入 (EMA25-EMA52)/ATR14 &gt;= 0.5</x:v>
      </x:c>
      <x:c r="B393" s="120" t="str">
        <x:v>多</x:v>
      </x:c>
      <x:c r="C393" s="124" t="n">
        <x:v>45809</x:v>
      </x:c>
      <x:c r="D393" s="124" t="n">
        <x:v>45830</x:v>
      </x:c>
      <x:c r="E393" s="125" t="n">
        <x:v>104591.88</x:v>
      </x:c>
      <x:c r="F393" s="125" t="n">
        <x:v>102120.02</x:v>
      </x:c>
      <x:c r="G393" s="120" t="n">
        <x:v>21</x:v>
      </x:c>
      <x:c r="H393" s="125" t="n">
        <x:v>-256.0975001118634</x:v>
      </x:c>
      <x:c r="I393" s="126" t="n">
        <x:f>H393/'Data &amp; Targets'!$C$34</x:f>
        <x:v>-0.025609750011186337</x:v>
      </x:c>
      <x:c r="J393" s="126" t="n">
        <x:v>0.056775822367854945</x:v>
      </x:c>
      <x:c r="K393" s="120" t="str">
        <x:v>已平仓</x:v>
      </x:c>
      <x:c r="L393" s="120" t="str">
        <x:f>IF(K393="未平仓","浮盈未实现",IF(I393&gt;='Data &amp; Targets'!$C$31,"大收益交易",IF(I393&lt;0,"亏损","普通盈利")))</x:f>
        <x:v>亏损</x:v>
      </x:c>
      <x:c r="M393" s="120" t="str">
        <x:v>EMA52-300 cross</x:v>
      </x:c>
      <x:c r="N393" s="120" t="str">
        <x:v>rearm_gap0.5</x:v>
      </x:c>
    </x:row>
    <x:row r="394" ht="23" customHeight="1">
      <x:c r="A394" s="120" t="str">
        <x:v>补入 (EMA25-EMA52)/ATR14 &gt;= 0.5</x:v>
      </x:c>
      <x:c r="B394" s="120" t="str">
        <x:v>多</x:v>
      </x:c>
      <x:c r="C394" s="124" t="n">
        <x:v>45832</x:v>
      </x:c>
      <x:c r="D394" s="124" t="n">
        <x:v>45889</x:v>
      </x:c>
      <x:c r="E394" s="125" t="n">
        <x:v>105333.94</x:v>
      </x:c>
      <x:c r="F394" s="125" t="n">
        <x:v>112872.95</x:v>
      </x:c>
      <x:c r="G394" s="120" t="n">
        <x:v>57</x:v>
      </x:c>
      <x:c r="H394" s="125" t="n">
        <x:v>695.0089505813601</x:v>
      </x:c>
      <x:c r="I394" s="126" t="n">
        <x:f>H394/'Data &amp; Targets'!$C$34</x:f>
        <x:v>0.069500895058136</x:v>
      </x:c>
      <x:c r="J394" s="126" t="n">
        <x:v>0.18170838383146015</x:v>
      </x:c>
      <x:c r="K394" s="120" t="str">
        <x:v>已平仓</x:v>
      </x:c>
      <x:c r="L394" s="120" t="str">
        <x:f>IF(K394="未平仓","浮盈未实现",IF(I394&gt;='Data &amp; Targets'!$C$31,"大收益交易",IF(I394&lt;0,"亏损","普通盈利")))</x:f>
        <x:v>普通盈利</x:v>
      </x:c>
      <x:c r="M394" s="120" t="str">
        <x:v>EMA52-300 cross</x:v>
      </x:c>
      <x:c r="N394" s="120" t="str">
        <x:v>rearm_gap0.5</x:v>
      </x:c>
    </x:row>
    <x:row r="395" ht="23" customHeight="1">
      <x:c r="A395" s="120" t="str">
        <x:v>补入 (EMA25-EMA52)/ATR14 &gt;= 0.5</x:v>
      </x:c>
      <x:c r="B395" s="120" t="str">
        <x:v>多</x:v>
      </x:c>
      <x:c r="C395" s="124" t="n">
        <x:v>45892</x:v>
      </x:c>
      <x:c r="D395" s="124" t="n">
        <x:v>45894</x:v>
      </x:c>
      <x:c r="E395" s="125" t="n">
        <x:v>116936</x:v>
      </x:c>
      <x:c r="F395" s="125" t="n">
        <x:v>113493.59</x:v>
      </x:c>
      <x:c r="G395" s="120" t="n">
        <x:v>2</x:v>
      </x:c>
      <x:c r="H395" s="125" t="n">
        <x:v>-314.08972343846233</x:v>
      </x:c>
      <x:c r="I395" s="126" t="n">
        <x:f>H395/'Data &amp; Targets'!$C$34</x:f>
        <x:v>-0.03140897234384623</x:v>
      </x:c>
      <x:c r="J395" s="126" t="n">
        <x:v>0.000803858520900258</x:v>
      </x:c>
      <x:c r="K395" s="120" t="str">
        <x:v>已平仓</x:v>
      </x:c>
      <x:c r="L395" s="120" t="str">
        <x:f>IF(K395="未平仓","浮盈未实现",IF(I395&gt;='Data &amp; Targets'!$C$31,"大收益交易",IF(I395&lt;0,"亏损","普通盈利")))</x:f>
        <x:v>亏损</x:v>
      </x:c>
      <x:c r="M395" s="120" t="str">
        <x:v>EMA52-300 cross</x:v>
      </x:c>
      <x:c r="N395" s="120" t="str">
        <x:v>rearm_gap0.5</x:v>
      </x:c>
    </x:row>
    <x:row r="396" ht="23" customHeight="1">
      <x:c r="A396" s="120" t="str">
        <x:v>补入 ADX &gt;= 20 且斜率 &gt;= 0.1</x:v>
      </x:c>
      <x:c r="B396" s="120" t="str">
        <x:v>多</x:v>
      </x:c>
      <x:c r="C396" s="124" t="n">
        <x:v>45372</x:v>
      </x:c>
      <x:c r="D396" s="124" t="n">
        <x:v>45396</x:v>
      </x:c>
      <x:c r="E396" s="125" t="n">
        <x:v>67840.51</x:v>
      </x:c>
      <x:c r="F396" s="125" t="n">
        <x:v>63924.52</x:v>
      </x:c>
      <x:c r="G396" s="120" t="n">
        <x:v>24</x:v>
      </x:c>
      <x:c r="H396" s="125" t="n">
        <x:v>-596.6575177574576</x:v>
      </x:c>
      <x:c r="I396" s="126" t="n">
        <x:f>H396/'Data &amp; Targets'!$C$34</x:f>
        <x:v>-0.05966575177574576</x:v>
      </x:c>
      <x:c r="J396" s="126" t="n">
        <x:v>0.07307551196180584</x:v>
      </x:c>
      <x:c r="K396" s="120" t="str">
        <x:v>已平仓</x:v>
      </x:c>
      <x:c r="L396" s="120" t="str">
        <x:f>IF(K396="未平仓","浮盈未实现",IF(I396&gt;='Data &amp; Targets'!$C$31,"大收益交易",IF(I396&lt;0,"亏损","普通盈利")))</x:f>
        <x:v>亏损</x:v>
      </x:c>
      <x:c r="M396" s="120" t="str">
        <x:v>EMA52-300 cross</x:v>
      </x:c>
      <x:c r="N396" s="120" t="str">
        <x:v>rearm_adx20_slope01</x:v>
      </x:c>
    </x:row>
    <x:row r="397" ht="23" customHeight="1">
      <x:c r="A397" s="120" t="str">
        <x:v>补入 ADX &gt;= 20 且斜率 &gt;= 0.1</x:v>
      </x:c>
      <x:c r="B397" s="120" t="str">
        <x:v>多</x:v>
      </x:c>
      <x:c r="C397" s="124" t="n">
        <x:v>45434</x:v>
      </x:c>
      <x:c r="D397" s="124" t="n">
        <x:v>45458</x:v>
      </x:c>
      <x:c r="E397" s="125" t="n">
        <x:v>70148.34</x:v>
      </x:c>
      <x:c r="F397" s="125" t="n">
        <x:v>66043.99</x:v>
      </x:c>
      <x:c r="G397" s="120" t="n">
        <x:v>24</x:v>
      </x:c>
      <x:c r="H397" s="125" t="n">
        <x:v>-604.5107168608681</x:v>
      </x:c>
      <x:c r="I397" s="126" t="n">
        <x:f>H397/'Data &amp; Targets'!$C$34</x:f>
        <x:v>-0.060451071686086814</x:v>
      </x:c>
      <x:c r="J397" s="126" t="n">
        <x:v>0.026353866677386817</x:v>
      </x:c>
      <x:c r="K397" s="120" t="str">
        <x:v>已平仓</x:v>
      </x:c>
      <x:c r="L397" s="120" t="str">
        <x:f>IF(K397="未平仓","浮盈未实现",IF(I397&gt;='Data &amp; Targets'!$C$31,"大收益交易",IF(I397&lt;0,"亏损","普通盈利")))</x:f>
        <x:v>亏损</x:v>
      </x:c>
      <x:c r="M397" s="120" t="str">
        <x:v>EMA52-300 cross</x:v>
      </x:c>
      <x:c r="N397" s="120" t="str">
        <x:v>rearm_adx20_slope01</x:v>
      </x:c>
    </x:row>
    <x:row r="398" ht="23" customHeight="1">
      <x:c r="A398" s="120" t="str">
        <x:v>补入 ADX &gt;= 20 且斜率 &gt;= 0.1</x:v>
      </x:c>
      <x:c r="B398" s="120" t="str">
        <x:v>多</x:v>
      </x:c>
      <x:c r="C398" s="124" t="n">
        <x:v>45497</x:v>
      </x:c>
      <x:c r="D398" s="124" t="n">
        <x:v>45507</x:v>
      </x:c>
      <x:c r="E398" s="125" t="n">
        <x:v>65936</x:v>
      </x:c>
      <x:c r="F398" s="125" t="n">
        <x:v>61498.34</x:v>
      </x:c>
      <x:c r="G398" s="120" t="n">
        <x:v>10</x:v>
      </x:c>
      <x:c r="H398" s="125" t="n">
        <x:v>-692.352332564912</x:v>
      </x:c>
      <x:c r="I398" s="126" t="n">
        <x:f>H398/'Data &amp; Targets'!$C$34</x:f>
        <x:v>-0.0692352332564912</x:v>
      </x:c>
      <x:c r="J398" s="126" t="n">
        <x:v>0.0628486714389711</x:v>
      </x:c>
      <x:c r="K398" s="120" t="str">
        <x:v>已平仓</x:v>
      </x:c>
      <x:c r="L398" s="120" t="str">
        <x:f>IF(K398="未平仓","浮盈未实现",IF(I398&gt;='Data &amp; Targets'!$C$31,"大收益交易",IF(I398&lt;0,"亏损","普通盈利")))</x:f>
        <x:v>亏损</x:v>
      </x:c>
      <x:c r="M398" s="120" t="str">
        <x:v>EMA52-300 cross</x:v>
      </x:c>
      <x:c r="N398" s="120" t="str">
        <x:v>rearm_adx20_slope01</x:v>
      </x:c>
    </x:row>
    <x:row r="399" ht="23" customHeight="1">
      <x:c r="A399" s="120" t="str">
        <x:v>补入 ADX &gt;= 20 且斜率 &gt;= 0.1</x:v>
      </x:c>
      <x:c r="B399" s="120" t="str">
        <x:v>多</x:v>
      </x:c>
      <x:c r="C399" s="124" t="n">
        <x:v>45651</x:v>
      </x:c>
      <x:c r="D399" s="124" t="n">
        <x:v>45667</x:v>
      </x:c>
      <x:c r="E399" s="125" t="n">
        <x:v>98663.58</x:v>
      </x:c>
      <x:c r="F399" s="125" t="n">
        <x:v>92552.49</x:v>
      </x:c>
      <x:c r="G399" s="120" t="n">
        <x:v>16</x:v>
      </x:c>
      <x:c r="H399" s="125" t="n">
        <x:v>-638.7672198799189</x:v>
      </x:c>
      <x:c r="I399" s="126" t="n">
        <x:f>H399/'Data &amp; Targets'!$C$34</x:f>
        <x:v>-0.0638767219879919</x:v>
      </x:c>
      <x:c r="J399" s="126" t="n">
        <x:v>0.041158044336116806</x:v>
      </x:c>
      <x:c r="K399" s="120" t="str">
        <x:v>已平仓</x:v>
      </x:c>
      <x:c r="L399" s="120" t="str">
        <x:f>IF(K399="未平仓","浮盈未实现",IF(I399&gt;='Data &amp; Targets'!$C$31,"大收益交易",IF(I399&lt;0,"亏损","普通盈利")))</x:f>
        <x:v>亏损</x:v>
      </x:c>
      <x:c r="M399" s="120" t="str">
        <x:v>EMA52-300 cross</x:v>
      </x:c>
      <x:c r="N399" s="120" t="str">
        <x:v>rearm_adx20_slope01</x:v>
      </x:c>
    </x:row>
    <x:row r="400" ht="23" customHeight="1">
      <x:c r="A400" s="120" t="str">
        <x:v>补入 ADX &gt;= 20 且斜率 &gt;= 0.1</x:v>
      </x:c>
      <x:c r="B400" s="120" t="str">
        <x:v>多</x:v>
      </x:c>
      <x:c r="C400" s="124" t="n">
        <x:v>45809</x:v>
      </x:c>
      <x:c r="D400" s="124" t="n">
        <x:v>45830</x:v>
      </x:c>
      <x:c r="E400" s="125" t="n">
        <x:v>104591.88</x:v>
      </x:c>
      <x:c r="F400" s="125" t="n">
        <x:v>102120.02</x:v>
      </x:c>
      <x:c r="G400" s="120" t="n">
        <x:v>21</x:v>
      </x:c>
      <x:c r="H400" s="125" t="n">
        <x:v>-256.0975001118634</x:v>
      </x:c>
      <x:c r="I400" s="126" t="n">
        <x:f>H400/'Data &amp; Targets'!$C$34</x:f>
        <x:v>-0.025609750011186337</x:v>
      </x:c>
      <x:c r="J400" s="126" t="n">
        <x:v>0.056775822367854945</x:v>
      </x:c>
      <x:c r="K400" s="120" t="str">
        <x:v>已平仓</x:v>
      </x:c>
      <x:c r="L400" s="120" t="str">
        <x:f>IF(K400="未平仓","浮盈未实现",IF(I400&gt;='Data &amp; Targets'!$C$31,"大收益交易",IF(I400&lt;0,"亏损","普通盈利")))</x:f>
        <x:v>亏损</x:v>
      </x:c>
      <x:c r="M400" s="120" t="str">
        <x:v>EMA52-300 cross</x:v>
      </x:c>
      <x:c r="N400" s="120" t="str">
        <x:v>rearm_adx20_slope01</x:v>
      </x:c>
    </x:row>
    <x:row r="401" ht="23" customHeight="1">
      <x:c r="A401" s="120" t="str">
        <x:v>补入 排除ER20&lt;0.2且EMA52绝对斜率&lt;0.1</x:v>
      </x:c>
      <x:c r="B401" s="120" t="str">
        <x:v>多</x:v>
      </x:c>
      <x:c r="C401" s="124" t="n">
        <x:v>45330</x:v>
      </x:c>
      <x:c r="D401" s="124" t="n">
        <x:v>45396</x:v>
      </x:c>
      <x:c r="E401" s="125" t="n">
        <x:v>44349.6</x:v>
      </x:c>
      <x:c r="F401" s="125" t="n">
        <x:v>63924.52</x:v>
      </x:c>
      <x:c r="G401" s="120" t="n">
        <x:v>66</x:v>
      </x:c>
      <x:c r="H401" s="125" t="n">
        <x:v>4389.362221981709</x:v>
      </x:c>
      <x:c r="I401" s="126" t="n">
        <x:f>H401/'Data &amp; Targets'!$C$34</x:f>
        <x:v>0.4389362221981709</x:v>
      </x:c>
      <x:c r="J401" s="126" t="n">
        <x:v>0.6635324783087109</x:v>
      </x:c>
      <x:c r="K401" s="120" t="str">
        <x:v>已平仓</x:v>
      </x:c>
      <x:c r="L401" s="120" t="str">
        <x:f>IF(K401="未平仓","浮盈未实现",IF(I401&gt;='Data &amp; Targets'!$C$31,"大收益交易",IF(I401&lt;0,"亏损","普通盈利")))</x:f>
        <x:v>大收益交易</x:v>
      </x:c>
      <x:c r="M401" s="120" t="str">
        <x:v>EMA52-300 cross</x:v>
      </x:c>
      <x:c r="N401" s="120" t="str">
        <x:v>rearm_flat_veto0.1</x:v>
      </x:c>
    </x:row>
    <x:row r="402" ht="23" customHeight="1">
      <x:c r="A402" s="120" t="str">
        <x:v>补入 排除ER20&lt;0.2且EMA52绝对斜率&lt;0.1</x:v>
      </x:c>
      <x:c r="B402" s="120" t="str">
        <x:v>多</x:v>
      </x:c>
      <x:c r="C402" s="124" t="n">
        <x:v>45434</x:v>
      </x:c>
      <x:c r="D402" s="124" t="n">
        <x:v>45458</x:v>
      </x:c>
      <x:c r="E402" s="125" t="n">
        <x:v>70148.34</x:v>
      </x:c>
      <x:c r="F402" s="125" t="n">
        <x:v>66043.99</x:v>
      </x:c>
      <x:c r="G402" s="120" t="n">
        <x:v>24</x:v>
      </x:c>
      <x:c r="H402" s="125" t="n">
        <x:v>-604.5107168608681</x:v>
      </x:c>
      <x:c r="I402" s="126" t="n">
        <x:f>H402/'Data &amp; Targets'!$C$34</x:f>
        <x:v>-0.060451071686086814</x:v>
      </x:c>
      <x:c r="J402" s="126" t="n">
        <x:v>0.026353866677386817</x:v>
      </x:c>
      <x:c r="K402" s="120" t="str">
        <x:v>已平仓</x:v>
      </x:c>
      <x:c r="L402" s="120" t="str">
        <x:f>IF(K402="未平仓","浮盈未实现",IF(I402&gt;='Data &amp; Targets'!$C$31,"大收益交易",IF(I402&lt;0,"亏损","普通盈利")))</x:f>
        <x:v>亏损</x:v>
      </x:c>
      <x:c r="M402" s="120" t="str">
        <x:v>EMA52-300 cross</x:v>
      </x:c>
      <x:c r="N402" s="120" t="str">
        <x:v>rearm_flat_veto0.1</x:v>
      </x:c>
    </x:row>
    <x:row r="403" ht="23" customHeight="1">
      <x:c r="A403" s="120" t="str">
        <x:v>补入 排除ER20&lt;0.2且EMA52绝对斜率&lt;0.1</x:v>
      </x:c>
      <x:c r="B403" s="120" t="str">
        <x:v>多</x:v>
      </x:c>
      <x:c r="C403" s="124" t="n">
        <x:v>45497</x:v>
      </x:c>
      <x:c r="D403" s="124" t="n">
        <x:v>45507</x:v>
      </x:c>
      <x:c r="E403" s="125" t="n">
        <x:v>65936</x:v>
      </x:c>
      <x:c r="F403" s="125" t="n">
        <x:v>61498.34</x:v>
      </x:c>
      <x:c r="G403" s="120" t="n">
        <x:v>10</x:v>
      </x:c>
      <x:c r="H403" s="125" t="n">
        <x:v>-692.352332564912</x:v>
      </x:c>
      <x:c r="I403" s="126" t="n">
        <x:f>H403/'Data &amp; Targets'!$C$34</x:f>
        <x:v>-0.0692352332564912</x:v>
      </x:c>
      <x:c r="J403" s="126" t="n">
        <x:v>0.0628486714389711</x:v>
      </x:c>
      <x:c r="K403" s="120" t="str">
        <x:v>已平仓</x:v>
      </x:c>
      <x:c r="L403" s="120" t="str">
        <x:f>IF(K403="未平仓","浮盈未实现",IF(I403&gt;='Data &amp; Targets'!$C$31,"大收益交易",IF(I403&lt;0,"亏损","普通盈利")))</x:f>
        <x:v>亏损</x:v>
      </x:c>
      <x:c r="M403" s="120" t="str">
        <x:v>EMA52-300 cross</x:v>
      </x:c>
      <x:c r="N403" s="120" t="str">
        <x:v>rearm_flat_veto0.1</x:v>
      </x:c>
    </x:row>
    <x:row r="404" ht="23" customHeight="1">
      <x:c r="A404" s="120" t="str">
        <x:v>补入 排除ER20&lt;0.2且EMA52绝对斜率&lt;0.1</x:v>
      </x:c>
      <x:c r="B404" s="120" t="str">
        <x:v>多</x:v>
      </x:c>
      <x:c r="C404" s="124" t="n">
        <x:v>45558</x:v>
      </x:c>
      <x:c r="D404" s="124" t="n">
        <x:v>45567</x:v>
      </x:c>
      <x:c r="E404" s="125" t="n">
        <x:v>63578.76</x:v>
      </x:c>
      <x:c r="F404" s="125" t="n">
        <x:v>60804.92</x:v>
      </x:c>
      <x:c r="G404" s="120" t="n">
        <x:v>9</x:v>
      </x:c>
      <x:c r="H404" s="125" t="n">
        <x:v>-455.8477831275734</x:v>
      </x:c>
      <x:c r="I404" s="126" t="n">
        <x:f>H404/'Data &amp; Targets'!$C$34</x:f>
        <x:v>-0.04558477831275734</x:v>
      </x:c>
      <x:c r="J404" s="126" t="n">
        <x:v>0.045915333988898244</x:v>
      </x:c>
      <x:c r="K404" s="120" t="str">
        <x:v>已平仓</x:v>
      </x:c>
      <x:c r="L404" s="120" t="str">
        <x:f>IF(K404="未平仓","浮盈未实现",IF(I404&gt;='Data &amp; Targets'!$C$31,"大收益交易",IF(I404&lt;0,"亏损","普通盈利")))</x:f>
        <x:v>亏损</x:v>
      </x:c>
      <x:c r="M404" s="120" t="str">
        <x:v>EMA52-300 cross</x:v>
      </x:c>
      <x:c r="N404" s="120" t="str">
        <x:v>rearm_flat_veto0.1</x:v>
      </x:c>
    </x:row>
    <x:row r="405" ht="23" customHeight="1">
      <x:c r="A405" s="120" t="str">
        <x:v>补入 排除ER20&lt;0.2且EMA52绝对斜率&lt;0.1</x:v>
      </x:c>
      <x:c r="B405" s="120" t="str">
        <x:v>多</x:v>
      </x:c>
      <x:c r="C405" s="124" t="n">
        <x:v>45651</x:v>
      </x:c>
      <x:c r="D405" s="124" t="n">
        <x:v>45667</x:v>
      </x:c>
      <x:c r="E405" s="125" t="n">
        <x:v>98663.58</x:v>
      </x:c>
      <x:c r="F405" s="125" t="n">
        <x:v>92552.49</x:v>
      </x:c>
      <x:c r="G405" s="120" t="n">
        <x:v>16</x:v>
      </x:c>
      <x:c r="H405" s="125" t="n">
        <x:v>-638.7672198799189</x:v>
      </x:c>
      <x:c r="I405" s="126" t="n">
        <x:f>H405/'Data &amp; Targets'!$C$34</x:f>
        <x:v>-0.0638767219879919</x:v>
      </x:c>
      <x:c r="J405" s="126" t="n">
        <x:v>0.041158044336116806</x:v>
      </x:c>
      <x:c r="K405" s="120" t="str">
        <x:v>已平仓</x:v>
      </x:c>
      <x:c r="L405" s="120" t="str">
        <x:f>IF(K405="未平仓","浮盈未实现",IF(I405&gt;='Data &amp; Targets'!$C$31,"大收益交易",IF(I405&lt;0,"亏损","普通盈利")))</x:f>
        <x:v>亏损</x:v>
      </x:c>
      <x:c r="M405" s="120" t="str">
        <x:v>EMA52-300 cross</x:v>
      </x:c>
      <x:c r="N405" s="120" t="str">
        <x:v>rearm_flat_veto0.1</x:v>
      </x:c>
    </x:row>
    <x:row r="406" ht="23" customHeight="1">
      <x:c r="A406" s="120" t="str">
        <x:v>补入 排除ER20&lt;0.2且EMA52绝对斜率&lt;0.1</x:v>
      </x:c>
      <x:c r="B406" s="120" t="str">
        <x:v>多</x:v>
      </x:c>
      <x:c r="C406" s="124" t="n">
        <x:v>45692</x:v>
      </x:c>
      <x:c r="D406" s="124" t="n">
        <x:v>45693</x:v>
      </x:c>
      <x:c r="E406" s="125" t="n">
        <x:v>101328.51</x:v>
      </x:c>
      <x:c r="F406" s="125" t="n">
        <x:v>97763.14</x:v>
      </x:c>
      <x:c r="G406" s="120" t="n">
        <x:v>1</x:v>
      </x:c>
      <x:c r="H406" s="125" t="n">
        <x:v>-371.5106094030195</x:v>
      </x:c>
      <x:c r="I406" s="126" t="n">
        <x:f>H406/'Data &amp; Targets'!$C$34</x:f>
        <x:v>-0.03715106094030195</x:v>
      </x:c>
      <x:c r="J406" s="126" t="n">
        <x:v>0.0039850581045748346</x:v>
      </x:c>
      <x:c r="K406" s="120" t="str">
        <x:v>已平仓</x:v>
      </x:c>
      <x:c r="L406" s="120" t="str">
        <x:f>IF(K406="未平仓","浮盈未实现",IF(I406&gt;='Data &amp; Targets'!$C$31,"大收益交易",IF(I406&lt;0,"亏损","普通盈利")))</x:f>
        <x:v>亏损</x:v>
      </x:c>
      <x:c r="M406" s="120" t="str">
        <x:v>EMA52-300 cross</x:v>
      </x:c>
      <x:c r="N406" s="120" t="str">
        <x:v>rearm_flat_veto0.1</x:v>
      </x:c>
    </x:row>
    <x:row r="407" ht="23" customHeight="1">
      <x:c r="A407" s="120" t="str">
        <x:v>补入 排除ER20&lt;0.2且EMA52绝对斜率&lt;0.1</x:v>
      </x:c>
      <x:c r="B407" s="120" t="str">
        <x:v>多</x:v>
      </x:c>
      <x:c r="C407" s="124" t="n">
        <x:v>45809</x:v>
      </x:c>
      <x:c r="D407" s="124" t="n">
        <x:v>45830</x:v>
      </x:c>
      <x:c r="E407" s="125" t="n">
        <x:v>104591.88</x:v>
      </x:c>
      <x:c r="F407" s="125" t="n">
        <x:v>102120.02</x:v>
      </x:c>
      <x:c r="G407" s="120" t="n">
        <x:v>21</x:v>
      </x:c>
      <x:c r="H407" s="125" t="n">
        <x:v>-256.0975001118634</x:v>
      </x:c>
      <x:c r="I407" s="126" t="n">
        <x:f>H407/'Data &amp; Targets'!$C$34</x:f>
        <x:v>-0.025609750011186337</x:v>
      </x:c>
      <x:c r="J407" s="126" t="n">
        <x:v>0.056775822367854945</x:v>
      </x:c>
      <x:c r="K407" s="120" t="str">
        <x:v>已平仓</x:v>
      </x:c>
      <x:c r="L407" s="120" t="str">
        <x:f>IF(K407="未平仓","浮盈未实现",IF(I407&gt;='Data &amp; Targets'!$C$31,"大收益交易",IF(I407&lt;0,"亏损","普通盈利")))</x:f>
        <x:v>亏损</x:v>
      </x:c>
      <x:c r="M407" s="120" t="str">
        <x:v>EMA52-300 cross</x:v>
      </x:c>
      <x:c r="N407" s="120" t="str">
        <x:v>rearm_flat_veto0.1</x:v>
      </x:c>
    </x:row>
    <x:row r="408" ht="23" customHeight="1">
      <x:c r="A408" s="120" t="str">
        <x:v>补入 排除ER20&lt;0.2且EMA52绝对斜率&lt;0.1</x:v>
      </x:c>
      <x:c r="B408" s="120" t="str">
        <x:v>多</x:v>
      </x:c>
      <x:c r="C408" s="124" t="n">
        <x:v>45841</x:v>
      </x:c>
      <x:c r="D408" s="124" t="n">
        <x:v>45889</x:v>
      </x:c>
      <x:c r="E408" s="125" t="n">
        <x:v>108849.59</x:v>
      </x:c>
      <x:c r="F408" s="125" t="n">
        <x:v>112872.95</x:v>
      </x:c>
      <x:c r="G408" s="120" t="n">
        <x:v>48</x:v>
      </x:c>
      <x:c r="H408" s="125" t="n">
        <x:v>349.2560201650737</x:v>
      </x:c>
      <x:c r="I408" s="126" t="n">
        <x:f>H408/'Data &amp; Targets'!$C$34</x:f>
        <x:v>0.03492560201650737</x:v>
      </x:c>
      <x:c r="J408" s="126" t="n">
        <x:v>0.14354128481329154</x:v>
      </x:c>
      <x:c r="K408" s="120" t="str">
        <x:v>已平仓</x:v>
      </x:c>
      <x:c r="L408" s="120" t="str">
        <x:f>IF(K408="未平仓","浮盈未实现",IF(I408&gt;='Data &amp; Targets'!$C$31,"大收益交易",IF(I408&lt;0,"亏损","普通盈利")))</x:f>
        <x:v>普通盈利</x:v>
      </x:c>
      <x:c r="M408" s="120" t="str">
        <x:v>EMA52-300 cross</x:v>
      </x:c>
      <x:c r="N408" s="120" t="str">
        <x:v>rearm_flat_veto0.1</x:v>
      </x:c>
    </x:row>
    <x:row r="409" ht="23" customHeight="1">
      <x:c r="A409" s="120" t="str">
        <x:v>补入 排除ER20&lt;0.2且EMA52绝对斜率&lt;0.1</x:v>
      </x:c>
      <x:c r="B409" s="120" t="str">
        <x:v>多</x:v>
      </x:c>
      <x:c r="C409" s="124" t="n">
        <x:v>45919</x:v>
      </x:c>
      <x:c r="D409" s="124" t="n">
        <x:v>45923</x:v>
      </x:c>
      <x:c r="E409" s="125" t="n">
        <x:v>117073.53</x:v>
      </x:c>
      <x:c r="F409" s="125" t="n">
        <x:v>112650.99</x:v>
      </x:c>
      <x:c r="G409" s="120" t="n">
        <x:v>4</x:v>
      </x:c>
      <x:c r="H409" s="125" t="n">
        <x:v>-397.37970829101965</x:v>
      </x:c>
      <x:c r="I409" s="126" t="n">
        <x:f>H409/'Data &amp; Targets'!$C$34</x:f>
        <x:v>-0.039737970829101965</x:v>
      </x:c>
      <x:c r="J409" s="126" t="n">
        <x:v>0.0033010023700490443</x:v>
      </x:c>
      <x:c r="K409" s="120" t="str">
        <x:v>已平仓</x:v>
      </x:c>
      <x:c r="L409" s="120" t="str">
        <x:f>IF(K409="未平仓","浮盈未实现",IF(I409&gt;='Data &amp; Targets'!$C$31,"大收益交易",IF(I409&lt;0,"亏损","普通盈利")))</x:f>
        <x:v>亏损</x:v>
      </x:c>
      <x:c r="M409" s="120" t="str">
        <x:v>EMA52-300 cross</x:v>
      </x:c>
      <x:c r="N409" s="120" t="str">
        <x:v>rearm_flat_veto0.1</x:v>
      </x:c>
    </x:row>
    <x:row r="410" ht="23" customHeight="1">
      <x:c r="A410" s="120" t="str">
        <x:v>补入 排除ER20&lt;0.2且EMA52绝对斜率&lt;0.1</x:v>
      </x:c>
      <x:c r="B410" s="120" t="str">
        <x:v>多</x:v>
      </x:c>
      <x:c r="C410" s="124" t="n">
        <x:v>45930</x:v>
      </x:c>
      <x:c r="D410" s="124" t="n">
        <x:v>45941</x:v>
      </x:c>
      <x:c r="E410" s="125" t="n">
        <x:v>114311.97</x:v>
      </x:c>
      <x:c r="F410" s="125" t="n">
        <x:v>112774.49</x:v>
      </x:c>
      <x:c r="G410" s="120" t="n">
        <x:v>11</x:v>
      </x:c>
      <x:c r="H410" s="125" t="n">
        <x:v>-154.36410202711016</x:v>
      </x:c>
      <x:c r="I410" s="126" t="n">
        <x:f>H410/'Data &amp; Targets'!$C$34</x:f>
        <x:v>-0.015436410202711016</x:v>
      </x:c>
      <x:c r="J410" s="126" t="n">
        <x:v>0.10399313387740584</x:v>
      </x:c>
      <x:c r="K410" s="120" t="str">
        <x:v>已平仓</x:v>
      </x:c>
      <x:c r="L410" s="120" t="str">
        <x:f>IF(K410="未平仓","浮盈未实现",IF(I410&gt;='Data &amp; Targets'!$C$31,"大收益交易",IF(I410&lt;0,"亏损","普通盈利")))</x:f>
        <x:v>亏损</x:v>
      </x:c>
      <x:c r="M410" s="120" t="str">
        <x:v>EMA52-300 cross</x:v>
      </x:c>
      <x:c r="N410" s="120" t="str">
        <x:v>rearm_flat_veto0.1</x:v>
      </x:c>
    </x:row>
    <x:row r="411" ht="23" customHeight="1">
      <x:c r="A411" s="120" t="str">
        <x:v>补入 排除ER20&lt;0.2且EMA52绝对斜率&lt;0.1</x:v>
      </x:c>
      <x:c r="B411" s="120" t="str">
        <x:v>多</x:v>
      </x:c>
      <x:c r="C411" s="124" t="n">
        <x:v>46105</x:v>
      </x:c>
      <x:c r="D411" s="124" t="n">
        <x:v>46165</x:v>
      </x:c>
      <x:c r="E411" s="125" t="n">
        <x:v>70906.45</x:v>
      </x:c>
      <x:c r="F411" s="125" t="n">
        <x:v>75539.5</x:v>
      </x:c>
      <x:c r="G411" s="120" t="n">
        <x:v>60</x:v>
      </x:c>
      <x:c r="H411" s="125" t="n">
        <x:v>632.7497780526317</x:v>
      </x:c>
      <x:c r="I411" s="126" t="n">
        <x:f>H411/'Data &amp; Targets'!$C$34</x:f>
        <x:v>0.06327497780526317</x:v>
      </x:c>
      <x:c r="J411" s="126" t="n">
        <x:v>0.16844095283292293</x:v>
      </x:c>
      <x:c r="K411" s="120" t="str">
        <x:v>已平仓</x:v>
      </x:c>
      <x:c r="L411" s="120" t="str">
        <x:f>IF(K411="未平仓","浮盈未实现",IF(I411&gt;='Data &amp; Targets'!$C$31,"大收益交易",IF(I411&lt;0,"亏损","普通盈利")))</x:f>
        <x:v>普通盈利</x:v>
      </x:c>
      <x:c r="M411" s="120" t="str">
        <x:v>EMA52-300 cross</x:v>
      </x:c>
      <x:c r="N411" s="120" t="str">
        <x:v>rearm_flat_veto0.1</x:v>
      </x:c>
    </x:row>
    <x:row r="412" ht="23" customHeight="1">
      <x:c r="A412" s="120" t="str">
        <x:v>补入 排除ER20&lt;0.2且EMA52绝对斜率&lt;0.1</x:v>
      </x:c>
      <x:c r="B412" s="120" t="str">
        <x:v>多</x:v>
      </x:c>
      <x:c r="C412" s="124" t="n">
        <x:v>46225</x:v>
      </x:c>
      <x:c r="D412" s="124" t="n">
        <x:v>46228</x:v>
      </x:c>
      <x:c r="E412" s="125" t="n">
        <x:v>66556.15</x:v>
      </x:c>
      <x:c r="F412" s="125" t="n">
        <x:v>64140</x:v>
      </x:c>
      <x:c r="G412" s="120" t="n">
        <x:v>3</x:v>
      </x:c>
      <x:c r="H412" s="125" t="n">
        <x:v>-382.66127923565205</x:v>
      </x:c>
      <x:c r="I412" s="126" t="n">
        <x:f>H412/'Data &amp; Targets'!$C$34</x:f>
        <x:v>-0.03826612792356521</x:v>
      </x:c>
      <x:c r="J412" s="126" t="n">
        <x:v>0.002760676511486926</x:v>
      </x:c>
      <x:c r="K412" s="120" t="str">
        <x:v>已平仓</x:v>
      </x:c>
      <x:c r="L412" s="120" t="str">
        <x:f>IF(K412="未平仓","浮盈未实现",IF(I412&gt;='Data &amp; Targets'!$C$31,"大收益交易",IF(I412&lt;0,"亏损","普通盈利")))</x:f>
        <x:v>亏损</x:v>
      </x:c>
      <x:c r="M412" s="120" t="str">
        <x:v>EMA52-300 cross</x:v>
      </x:c>
      <x:c r="N412" s="120" t="str">
        <x:v>rearm_flat_veto0.1</x:v>
      </x:c>
    </x:row>
    <x:row r="413" ht="23" customHeight="1">
      <x:c r="A413" s="120" t="str">
        <x:v>补入 排除ER20&lt;0.2且EMA52绝对斜率&lt;0.1</x:v>
      </x:c>
      <x:c r="B413" s="120" t="str">
        <x:v>多</x:v>
      </x:c>
      <x:c r="C413" s="124" t="n">
        <x:v>46239</x:v>
      </x:c>
      <x:c r="D413" s="124" t="n">
        <x:v>46241</x:v>
      </x:c>
      <x:c r="E413" s="125" t="n">
        <x:v>64106.55</x:v>
      </x:c>
      <x:c r="F413" s="125" t="n">
        <x:v>64323.61</x:v>
      </x:c>
      <x:c r="G413" s="120" t="n">
        <x:v>2</x:v>
      </x:c>
      <x:c r="H413" s="125" t="n">
        <x:v>13.8253953769151</x:v>
      </x:c>
      <x:c r="I413" s="126" t="n">
        <x:f>H413/'Data &amp; Targets'!$C$34</x:f>
        <x:v>0.00138253953769151</x:v>
      </x:c>
      <x:c r="J413" s="126" t="n">
        <x:v>0.014330360938156872</x:v>
      </x:c>
      <x:c r="K413" s="120" t="str">
        <x:v>已平仓</x:v>
      </x:c>
      <x:c r="L413" s="120" t="str">
        <x:f>IF(K413="未平仓","浮盈未实现",IF(I413&gt;='Data &amp; Targets'!$C$31,"大收益交易",IF(I413&lt;0,"亏损","普通盈利")))</x:f>
        <x:v>普通盈利</x:v>
      </x:c>
      <x:c r="M413" s="120" t="str">
        <x:v>EMA52-300 cross</x:v>
      </x:c>
      <x:c r="N413" s="120" t="str">
        <x:v>rearm_flat_veto0.1</x:v>
      </x:c>
    </x:row>
    <x:row r="414" ht="23" customHeight="1">
      <x:c r="A414" s="120" t="str">
        <x:v>补入 排除ER20&lt;0.2且EMA52绝对斜率&lt;0.1</x:v>
      </x:c>
      <x:c r="B414" s="120" t="str">
        <x:v>多</x:v>
      </x:c>
      <x:c r="C414" s="124" t="n">
        <x:v>46252</x:v>
      </x:c>
      <x:c r="D414" s="124"/>
      <x:c r="E414" s="125" t="n">
        <x:v>64532.11</x:v>
      </x:c>
      <x:c r="F414" s="125" t="n">
        <x:v>80341.83</x:v>
      </x:c>
      <x:c r="G414" s="120" t="n">
        <x:v>19</x:v>
      </x:c>
      <x:c r="H414" s="125" t="n">
        <x:v>2439.899747583025</x:v>
      </x:c>
      <x:c r="I414" s="126" t="n">
        <x:f>H414/'Data &amp; Targets'!$C$34</x:f>
        <x:v>0.2439899747583025</x:v>
      </x:c>
      <x:c r="J414" s="126"/>
      <x:c r="K414" s="120" t="str">
        <x:v>未平仓</x:v>
      </x:c>
      <x:c r="L414" s="120" t="str">
        <x:f>IF(K414="未平仓","浮盈未实现",IF(I414&gt;='Data &amp; Targets'!$C$31,"大收益交易",IF(I414&lt;0,"亏损","普通盈利")))</x:f>
        <x:v>浮盈未实现</x:v>
      </x:c>
      <x:c r="M414" s="120" t="str">
        <x:v>期末按收盘估值；仅扣已付开仓费</x:v>
      </x:c>
      <x:c r="N414" s="120" t="str">
        <x:v>rearm_flat_veto0.1</x:v>
      </x:c>
    </x:row>
    <x:row r="415" ht="23" customHeight="1">
      <x:c r="A415" s="120" t="str">
        <x:v>补入 排除ER20&lt;0.2且EMA52绝对斜率&lt;0.2</x:v>
      </x:c>
      <x:c r="B415" s="120" t="str">
        <x:v>多</x:v>
      </x:c>
      <x:c r="C415" s="124" t="n">
        <x:v>45330</x:v>
      </x:c>
      <x:c r="D415" s="124" t="n">
        <x:v>45396</x:v>
      </x:c>
      <x:c r="E415" s="125" t="n">
        <x:v>44349.6</x:v>
      </x:c>
      <x:c r="F415" s="125" t="n">
        <x:v>63924.52</x:v>
      </x:c>
      <x:c r="G415" s="120" t="n">
        <x:v>66</x:v>
      </x:c>
      <x:c r="H415" s="125" t="n">
        <x:v>4389.362221981709</x:v>
      </x:c>
      <x:c r="I415" s="126" t="n">
        <x:f>H415/'Data &amp; Targets'!$C$34</x:f>
        <x:v>0.4389362221981709</x:v>
      </x:c>
      <x:c r="J415" s="126" t="n">
        <x:v>0.6635324783087109</x:v>
      </x:c>
      <x:c r="K415" s="120" t="str">
        <x:v>已平仓</x:v>
      </x:c>
      <x:c r="L415" s="120" t="str">
        <x:f>IF(K415="未平仓","浮盈未实现",IF(I415&gt;='Data &amp; Targets'!$C$31,"大收益交易",IF(I415&lt;0,"亏损","普通盈利")))</x:f>
        <x:v>大收益交易</x:v>
      </x:c>
      <x:c r="M415" s="120" t="str">
        <x:v>EMA52-300 cross</x:v>
      </x:c>
      <x:c r="N415" s="120" t="str">
        <x:v>rearm_flat_veto0.2</x:v>
      </x:c>
    </x:row>
    <x:row r="416" ht="23" customHeight="1">
      <x:c r="A416" s="120" t="str">
        <x:v>补入 排除ER20&lt;0.2且EMA52绝对斜率&lt;0.2</x:v>
      </x:c>
      <x:c r="B416" s="120" t="str">
        <x:v>多</x:v>
      </x:c>
      <x:c r="C416" s="124" t="n">
        <x:v>45434</x:v>
      </x:c>
      <x:c r="D416" s="124" t="n">
        <x:v>45458</x:v>
      </x:c>
      <x:c r="E416" s="125" t="n">
        <x:v>70148.34</x:v>
      </x:c>
      <x:c r="F416" s="125" t="n">
        <x:v>66043.99</x:v>
      </x:c>
      <x:c r="G416" s="120" t="n">
        <x:v>24</x:v>
      </x:c>
      <x:c r="H416" s="125" t="n">
        <x:v>-604.5107168608681</x:v>
      </x:c>
      <x:c r="I416" s="126" t="n">
        <x:f>H416/'Data &amp; Targets'!$C$34</x:f>
        <x:v>-0.060451071686086814</x:v>
      </x:c>
      <x:c r="J416" s="126" t="n">
        <x:v>0.026353866677386817</x:v>
      </x:c>
      <x:c r="K416" s="120" t="str">
        <x:v>已平仓</x:v>
      </x:c>
      <x:c r="L416" s="120" t="str">
        <x:f>IF(K416="未平仓","浮盈未实现",IF(I416&gt;='Data &amp; Targets'!$C$31,"大收益交易",IF(I416&lt;0,"亏损","普通盈利")))</x:f>
        <x:v>亏损</x:v>
      </x:c>
      <x:c r="M416" s="120" t="str">
        <x:v>EMA52-300 cross</x:v>
      </x:c>
      <x:c r="N416" s="120" t="str">
        <x:v>rearm_flat_veto0.2</x:v>
      </x:c>
    </x:row>
    <x:row r="417" ht="23" customHeight="1">
      <x:c r="A417" s="120" t="str">
        <x:v>补入 排除ER20&lt;0.2且EMA52绝对斜率&lt;0.2</x:v>
      </x:c>
      <x:c r="B417" s="120" t="str">
        <x:v>多</x:v>
      </x:c>
      <x:c r="C417" s="124" t="n">
        <x:v>45497</x:v>
      </x:c>
      <x:c r="D417" s="124" t="n">
        <x:v>45507</x:v>
      </x:c>
      <x:c r="E417" s="125" t="n">
        <x:v>65936</x:v>
      </x:c>
      <x:c r="F417" s="125" t="n">
        <x:v>61498.34</x:v>
      </x:c>
      <x:c r="G417" s="120" t="n">
        <x:v>10</x:v>
      </x:c>
      <x:c r="H417" s="125" t="n">
        <x:v>-692.352332564912</x:v>
      </x:c>
      <x:c r="I417" s="126" t="n">
        <x:f>H417/'Data &amp; Targets'!$C$34</x:f>
        <x:v>-0.0692352332564912</x:v>
      </x:c>
      <x:c r="J417" s="126" t="n">
        <x:v>0.0628486714389711</x:v>
      </x:c>
      <x:c r="K417" s="120" t="str">
        <x:v>已平仓</x:v>
      </x:c>
      <x:c r="L417" s="120" t="str">
        <x:f>IF(K417="未平仓","浮盈未实现",IF(I417&gt;='Data &amp; Targets'!$C$31,"大收益交易",IF(I417&lt;0,"亏损","普通盈利")))</x:f>
        <x:v>亏损</x:v>
      </x:c>
      <x:c r="M417" s="120" t="str">
        <x:v>EMA52-300 cross</x:v>
      </x:c>
      <x:c r="N417" s="120" t="str">
        <x:v>rearm_flat_veto0.2</x:v>
      </x:c>
    </x:row>
    <x:row r="418" ht="23" customHeight="1">
      <x:c r="A418" s="120" t="str">
        <x:v>补入 排除ER20&lt;0.2且EMA52绝对斜率&lt;0.2</x:v>
      </x:c>
      <x:c r="B418" s="120" t="str">
        <x:v>多</x:v>
      </x:c>
      <x:c r="C418" s="124" t="n">
        <x:v>45558</x:v>
      </x:c>
      <x:c r="D418" s="124" t="n">
        <x:v>45567</x:v>
      </x:c>
      <x:c r="E418" s="125" t="n">
        <x:v>63578.76</x:v>
      </x:c>
      <x:c r="F418" s="125" t="n">
        <x:v>60804.92</x:v>
      </x:c>
      <x:c r="G418" s="120" t="n">
        <x:v>9</x:v>
      </x:c>
      <x:c r="H418" s="125" t="n">
        <x:v>-455.8477831275734</x:v>
      </x:c>
      <x:c r="I418" s="126" t="n">
        <x:f>H418/'Data &amp; Targets'!$C$34</x:f>
        <x:v>-0.04558477831275734</x:v>
      </x:c>
      <x:c r="J418" s="126" t="n">
        <x:v>0.045915333988898244</x:v>
      </x:c>
      <x:c r="K418" s="120" t="str">
        <x:v>已平仓</x:v>
      </x:c>
      <x:c r="L418" s="120" t="str">
        <x:f>IF(K418="未平仓","浮盈未实现",IF(I418&gt;='Data &amp; Targets'!$C$31,"大收益交易",IF(I418&lt;0,"亏损","普通盈利")))</x:f>
        <x:v>亏损</x:v>
      </x:c>
      <x:c r="M418" s="120" t="str">
        <x:v>EMA52-300 cross</x:v>
      </x:c>
      <x:c r="N418" s="120" t="str">
        <x:v>rearm_flat_veto0.2</x:v>
      </x:c>
    </x:row>
    <x:row r="419" ht="23" customHeight="1">
      <x:c r="A419" s="120" t="str">
        <x:v>补入 排除ER20&lt;0.2且EMA52绝对斜率&lt;0.2</x:v>
      </x:c>
      <x:c r="B419" s="120" t="str">
        <x:v>多</x:v>
      </x:c>
      <x:c r="C419" s="124" t="n">
        <x:v>45651</x:v>
      </x:c>
      <x:c r="D419" s="124" t="n">
        <x:v>45667</x:v>
      </x:c>
      <x:c r="E419" s="125" t="n">
        <x:v>98663.58</x:v>
      </x:c>
      <x:c r="F419" s="125" t="n">
        <x:v>92552.49</x:v>
      </x:c>
      <x:c r="G419" s="120" t="n">
        <x:v>16</x:v>
      </x:c>
      <x:c r="H419" s="125" t="n">
        <x:v>-638.7672198799189</x:v>
      </x:c>
      <x:c r="I419" s="126" t="n">
        <x:f>H419/'Data &amp; Targets'!$C$34</x:f>
        <x:v>-0.0638767219879919</x:v>
      </x:c>
      <x:c r="J419" s="126" t="n">
        <x:v>0.041158044336116806</x:v>
      </x:c>
      <x:c r="K419" s="120" t="str">
        <x:v>已平仓</x:v>
      </x:c>
      <x:c r="L419" s="120" t="str">
        <x:f>IF(K419="未平仓","浮盈未实现",IF(I419&gt;='Data &amp; Targets'!$C$31,"大收益交易",IF(I419&lt;0,"亏损","普通盈利")))</x:f>
        <x:v>亏损</x:v>
      </x:c>
      <x:c r="M419" s="120" t="str">
        <x:v>EMA52-300 cross</x:v>
      </x:c>
      <x:c r="N419" s="120" t="str">
        <x:v>rearm_flat_veto0.2</x:v>
      </x:c>
    </x:row>
    <x:row r="420" ht="23" customHeight="1">
      <x:c r="A420" s="120" t="str">
        <x:v>补入 排除ER20&lt;0.2且EMA52绝对斜率&lt;0.2</x:v>
      </x:c>
      <x:c r="B420" s="120" t="str">
        <x:v>多</x:v>
      </x:c>
      <x:c r="C420" s="124" t="n">
        <x:v>45809</x:v>
      </x:c>
      <x:c r="D420" s="124" t="n">
        <x:v>45830</x:v>
      </x:c>
      <x:c r="E420" s="125" t="n">
        <x:v>104591.88</x:v>
      </x:c>
      <x:c r="F420" s="125" t="n">
        <x:v>102120.02</x:v>
      </x:c>
      <x:c r="G420" s="120" t="n">
        <x:v>21</x:v>
      </x:c>
      <x:c r="H420" s="125" t="n">
        <x:v>-256.0975001118634</x:v>
      </x:c>
      <x:c r="I420" s="126" t="n">
        <x:f>H420/'Data &amp; Targets'!$C$34</x:f>
        <x:v>-0.025609750011186337</x:v>
      </x:c>
      <x:c r="J420" s="126" t="n">
        <x:v>0.056775822367854945</x:v>
      </x:c>
      <x:c r="K420" s="120" t="str">
        <x:v>已平仓</x:v>
      </x:c>
      <x:c r="L420" s="120" t="str">
        <x:f>IF(K420="未平仓","浮盈未实现",IF(I420&gt;='Data &amp; Targets'!$C$31,"大收益交易",IF(I420&lt;0,"亏损","普通盈利")))</x:f>
        <x:v>亏损</x:v>
      </x:c>
      <x:c r="M420" s="120" t="str">
        <x:v>EMA52-300 cross</x:v>
      </x:c>
      <x:c r="N420" s="120" t="str">
        <x:v>rearm_flat_veto0.2</x:v>
      </x:c>
    </x:row>
    <x:row r="421" ht="23" customHeight="1">
      <x:c r="A421" s="120" t="str">
        <x:v>补入 排除ER20&lt;0.2且EMA52绝对斜率&lt;0.2</x:v>
      </x:c>
      <x:c r="B421" s="120" t="str">
        <x:v>多</x:v>
      </x:c>
      <x:c r="C421" s="124" t="n">
        <x:v>45841</x:v>
      </x:c>
      <x:c r="D421" s="124" t="n">
        <x:v>45889</x:v>
      </x:c>
      <x:c r="E421" s="125" t="n">
        <x:v>108849.59</x:v>
      </x:c>
      <x:c r="F421" s="125" t="n">
        <x:v>112872.95</x:v>
      </x:c>
      <x:c r="G421" s="120" t="n">
        <x:v>48</x:v>
      </x:c>
      <x:c r="H421" s="125" t="n">
        <x:v>349.2560201650737</x:v>
      </x:c>
      <x:c r="I421" s="126" t="n">
        <x:f>H421/'Data &amp; Targets'!$C$34</x:f>
        <x:v>0.03492560201650737</x:v>
      </x:c>
      <x:c r="J421" s="126" t="n">
        <x:v>0.14354128481329154</x:v>
      </x:c>
      <x:c r="K421" s="120" t="str">
        <x:v>已平仓</x:v>
      </x:c>
      <x:c r="L421" s="120" t="str">
        <x:f>IF(K421="未平仓","浮盈未实现",IF(I421&gt;='Data &amp; Targets'!$C$31,"大收益交易",IF(I421&lt;0,"亏损","普通盈利")))</x:f>
        <x:v>普通盈利</x:v>
      </x:c>
      <x:c r="M421" s="120" t="str">
        <x:v>EMA52-300 cross</x:v>
      </x:c>
      <x:c r="N421" s="120" t="str">
        <x:v>rearm_flat_veto0.2</x:v>
      </x:c>
    </x:row>
    <x:row r="422" ht="23" customHeight="1">
      <x:c r="A422" s="120" t="str">
        <x:v>补入 排除ER20&lt;0.2且EMA52绝对斜率&lt;0.2</x:v>
      </x:c>
      <x:c r="B422" s="120" t="str">
        <x:v>多</x:v>
      </x:c>
      <x:c r="C422" s="124" t="n">
        <x:v>45919</x:v>
      </x:c>
      <x:c r="D422" s="124" t="n">
        <x:v>45923</x:v>
      </x:c>
      <x:c r="E422" s="125" t="n">
        <x:v>117073.53</x:v>
      </x:c>
      <x:c r="F422" s="125" t="n">
        <x:v>112650.99</x:v>
      </x:c>
      <x:c r="G422" s="120" t="n">
        <x:v>4</x:v>
      </x:c>
      <x:c r="H422" s="125" t="n">
        <x:v>-397.37970829101965</x:v>
      </x:c>
      <x:c r="I422" s="126" t="n">
        <x:f>H422/'Data &amp; Targets'!$C$34</x:f>
        <x:v>-0.039737970829101965</x:v>
      </x:c>
      <x:c r="J422" s="126" t="n">
        <x:v>0.0033010023700490443</x:v>
      </x:c>
      <x:c r="K422" s="120" t="str">
        <x:v>已平仓</x:v>
      </x:c>
      <x:c r="L422" s="120" t="str">
        <x:f>IF(K422="未平仓","浮盈未实现",IF(I422&gt;='Data &amp; Targets'!$C$31,"大收益交易",IF(I422&lt;0,"亏损","普通盈利")))</x:f>
        <x:v>亏损</x:v>
      </x:c>
      <x:c r="M422" s="120" t="str">
        <x:v>EMA52-300 cross</x:v>
      </x:c>
      <x:c r="N422" s="120" t="str">
        <x:v>rearm_flat_veto0.2</x:v>
      </x:c>
    </x:row>
    <x:row r="423" ht="23" customHeight="1">
      <x:c r="A423" s="120" t="str">
        <x:v>补入 排除ER20&lt;0.2且EMA52绝对斜率&lt;0.2</x:v>
      </x:c>
      <x:c r="B423" s="120" t="str">
        <x:v>多</x:v>
      </x:c>
      <x:c r="C423" s="124" t="n">
        <x:v>45930</x:v>
      </x:c>
      <x:c r="D423" s="124" t="n">
        <x:v>45941</x:v>
      </x:c>
      <x:c r="E423" s="125" t="n">
        <x:v>114311.97</x:v>
      </x:c>
      <x:c r="F423" s="125" t="n">
        <x:v>112774.49</x:v>
      </x:c>
      <x:c r="G423" s="120" t="n">
        <x:v>11</x:v>
      </x:c>
      <x:c r="H423" s="125" t="n">
        <x:v>-154.36410202711016</x:v>
      </x:c>
      <x:c r="I423" s="126" t="n">
        <x:f>H423/'Data &amp; Targets'!$C$34</x:f>
        <x:v>-0.015436410202711016</x:v>
      </x:c>
      <x:c r="J423" s="126" t="n">
        <x:v>0.10399313387740584</x:v>
      </x:c>
      <x:c r="K423" s="120" t="str">
        <x:v>已平仓</x:v>
      </x:c>
      <x:c r="L423" s="120" t="str">
        <x:f>IF(K423="未平仓","浮盈未实现",IF(I423&gt;='Data &amp; Targets'!$C$31,"大收益交易",IF(I423&lt;0,"亏损","普通盈利")))</x:f>
        <x:v>亏损</x:v>
      </x:c>
      <x:c r="M423" s="120" t="str">
        <x:v>EMA52-300 cross</x:v>
      </x:c>
      <x:c r="N423" s="120" t="str">
        <x:v>rearm_flat_veto0.2</x:v>
      </x:c>
    </x:row>
    <x:row r="424" ht="23" customHeight="1">
      <x:c r="A424" s="120" t="str">
        <x:v>补入 排除ER20&lt;0.2且EMA52绝对斜率&lt;0.2</x:v>
      </x:c>
      <x:c r="B424" s="120" t="str">
        <x:v>多</x:v>
      </x:c>
      <x:c r="C424" s="124" t="n">
        <x:v>46105</x:v>
      </x:c>
      <x:c r="D424" s="124" t="n">
        <x:v>46165</x:v>
      </x:c>
      <x:c r="E424" s="125" t="n">
        <x:v>70906.45</x:v>
      </x:c>
      <x:c r="F424" s="125" t="n">
        <x:v>75539.5</x:v>
      </x:c>
      <x:c r="G424" s="120" t="n">
        <x:v>60</x:v>
      </x:c>
      <x:c r="H424" s="125" t="n">
        <x:v>632.7497780526317</x:v>
      </x:c>
      <x:c r="I424" s="126" t="n">
        <x:f>H424/'Data &amp; Targets'!$C$34</x:f>
        <x:v>0.06327497780526317</x:v>
      </x:c>
      <x:c r="J424" s="126" t="n">
        <x:v>0.16844095283292293</x:v>
      </x:c>
      <x:c r="K424" s="120" t="str">
        <x:v>已平仓</x:v>
      </x:c>
      <x:c r="L424" s="120" t="str">
        <x:f>IF(K424="未平仓","浮盈未实现",IF(I424&gt;='Data &amp; Targets'!$C$31,"大收益交易",IF(I424&lt;0,"亏损","普通盈利")))</x:f>
        <x:v>普通盈利</x:v>
      </x:c>
      <x:c r="M424" s="120" t="str">
        <x:v>EMA52-300 cross</x:v>
      </x:c>
      <x:c r="N424" s="120" t="str">
        <x:v>rearm_flat_veto0.2</x:v>
      </x:c>
    </x:row>
    <x:row r="425" ht="23" customHeight="1">
      <x:c r="A425" s="120" t="str">
        <x:v>补入 排除ER20&lt;0.2且EMA52绝对斜率&lt;0.2</x:v>
      </x:c>
      <x:c r="B425" s="120" t="str">
        <x:v>多</x:v>
      </x:c>
      <x:c r="C425" s="124" t="n">
        <x:v>46225</x:v>
      </x:c>
      <x:c r="D425" s="124" t="n">
        <x:v>46228</x:v>
      </x:c>
      <x:c r="E425" s="125" t="n">
        <x:v>66556.15</x:v>
      </x:c>
      <x:c r="F425" s="125" t="n">
        <x:v>64140</x:v>
      </x:c>
      <x:c r="G425" s="120" t="n">
        <x:v>3</x:v>
      </x:c>
      <x:c r="H425" s="125" t="n">
        <x:v>-382.66127923565205</x:v>
      </x:c>
      <x:c r="I425" s="126" t="n">
        <x:f>H425/'Data &amp; Targets'!$C$34</x:f>
        <x:v>-0.03826612792356521</x:v>
      </x:c>
      <x:c r="J425" s="126" t="n">
        <x:v>0.002760676511486926</x:v>
      </x:c>
      <x:c r="K425" s="120" t="str">
        <x:v>已平仓</x:v>
      </x:c>
      <x:c r="L425" s="120" t="str">
        <x:f>IF(K425="未平仓","浮盈未实现",IF(I425&gt;='Data &amp; Targets'!$C$31,"大收益交易",IF(I425&lt;0,"亏损","普通盈利")))</x:f>
        <x:v>亏损</x:v>
      </x:c>
      <x:c r="M425" s="120" t="str">
        <x:v>EMA52-300 cross</x:v>
      </x:c>
      <x:c r="N425" s="120" t="str">
        <x:v>rearm_flat_veto0.2</x:v>
      </x:c>
    </x:row>
  </x:sheetData>
  <x:conditionalFormatting sqref="H7:L425">
    <x:cfRule type="expression" dxfId="6" priority="1">
      <x:formula>$L7="大收益交易"</x:formula>
    </x:cfRule>
  </x:conditionalFormatting>
  <x:conditionalFormatting sqref="A7:N425">
    <x:cfRule type="expression" dxfId="7" priority="2">
      <x:formula>$K7="未平仓"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e80aff8347a24213"/>
  </x:tableParts>
</x:worksheet>
</file>